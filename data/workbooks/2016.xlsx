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58A56BC-E073-4C1F-8BB4-E00F21482339}" xr6:coauthVersionLast="47" xr6:coauthVersionMax="47" xr10:uidLastSave="{00000000-0000-0000-0000-000000000000}"/>
  <bookViews>
    <workbookView xWindow="-120" yWindow="-120" windowWidth="20730" windowHeight="11760" firstSheet="6" activeTab="11" xr2:uid="{00000000-000D-0000-FFFF-FFFF00000000}"/>
  </bookViews>
  <sheets>
    <sheet name="Январь 2016" sheetId="40" r:id="rId1"/>
    <sheet name="Февраль 2016" sheetId="41" r:id="rId2"/>
    <sheet name="Март 2016" sheetId="43" r:id="rId3"/>
    <sheet name="Апрель 2016" sheetId="44" r:id="rId4"/>
    <sheet name="Май 2016" sheetId="45" r:id="rId5"/>
    <sheet name="Июнь 2016" sheetId="46" r:id="rId6"/>
    <sheet name="Июль 2016" sheetId="47" r:id="rId7"/>
    <sheet name="Август 2016" sheetId="48" r:id="rId8"/>
    <sheet name="Сентябрь 2016" sheetId="49" r:id="rId9"/>
    <sheet name="Октябрь 2016" sheetId="50" r:id="rId10"/>
    <sheet name="Ноябрь 2016" sheetId="51" r:id="rId11"/>
    <sheet name="Декабрь 2016" sheetId="5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52" l="1"/>
  <c r="AC16" i="52" l="1"/>
  <c r="V16" i="52"/>
  <c r="O16" i="52"/>
  <c r="H16" i="52"/>
  <c r="AJ15" i="52"/>
  <c r="AJ14" i="52"/>
  <c r="AI14" i="52" s="1"/>
  <c r="AJ13" i="52"/>
  <c r="AJ12" i="52"/>
  <c r="AI12" i="52" s="1"/>
  <c r="AJ11" i="52"/>
  <c r="AJ10" i="52"/>
  <c r="AI10" i="52" s="1"/>
  <c r="AJ9" i="52"/>
  <c r="AJ8" i="52"/>
  <c r="AI8" i="52" s="1"/>
  <c r="AJ7" i="52"/>
  <c r="AJ6" i="52"/>
  <c r="AI6" i="52" s="1"/>
  <c r="AJ5" i="52"/>
  <c r="AJ4" i="52"/>
  <c r="AJ3" i="52"/>
  <c r="AI3" i="52" l="1"/>
  <c r="AK7" i="52"/>
  <c r="AK11" i="52"/>
  <c r="AK15" i="52"/>
  <c r="AJ16" i="52"/>
  <c r="AI16" i="52" s="1"/>
  <c r="AK9" i="52"/>
  <c r="AK13" i="52"/>
  <c r="AI5" i="52"/>
  <c r="AK5" i="52"/>
  <c r="AI7" i="52"/>
  <c r="AI9" i="52"/>
  <c r="AI11" i="52"/>
  <c r="AI13" i="52"/>
  <c r="AI15" i="52"/>
  <c r="AK6" i="52"/>
  <c r="AK8" i="52"/>
  <c r="AK10" i="52"/>
  <c r="AK12" i="52"/>
  <c r="AK14" i="52"/>
  <c r="D16" i="51"/>
  <c r="AE16" i="51"/>
  <c r="X16" i="51"/>
  <c r="Q16" i="51"/>
  <c r="J16" i="51"/>
  <c r="AJ15" i="51"/>
  <c r="AJ14" i="51"/>
  <c r="AI14" i="51" s="1"/>
  <c r="AJ13" i="51"/>
  <c r="AJ12" i="51"/>
  <c r="AI12" i="51" s="1"/>
  <c r="AJ11" i="51"/>
  <c r="AJ10" i="51"/>
  <c r="AI10" i="51" s="1"/>
  <c r="AJ9" i="51"/>
  <c r="AJ8" i="51"/>
  <c r="AI8" i="51" s="1"/>
  <c r="AJ7" i="51"/>
  <c r="AJ6" i="51"/>
  <c r="AI6" i="51" s="1"/>
  <c r="AJ5" i="51"/>
  <c r="AJ4" i="51"/>
  <c r="AJ3" i="51"/>
  <c r="D18" i="52" l="1"/>
  <c r="AK18" i="52"/>
  <c r="D19" i="52"/>
  <c r="AK16" i="52"/>
  <c r="AJ16" i="51"/>
  <c r="AI16" i="51" s="1"/>
  <c r="AI3" i="51"/>
  <c r="AK7" i="51"/>
  <c r="AK11" i="51"/>
  <c r="AK15" i="51"/>
  <c r="AK9" i="51"/>
  <c r="AK13" i="51"/>
  <c r="AI5" i="51"/>
  <c r="AK5" i="51"/>
  <c r="AI7" i="51"/>
  <c r="AI9" i="51"/>
  <c r="AI11" i="51"/>
  <c r="AI13" i="51"/>
  <c r="AI15" i="51"/>
  <c r="AK6" i="51"/>
  <c r="AK8" i="51"/>
  <c r="AK10" i="51"/>
  <c r="AK12" i="51"/>
  <c r="AK14" i="51"/>
  <c r="D18" i="51" l="1"/>
  <c r="AK18" i="51"/>
  <c r="D19" i="51"/>
  <c r="AK16" i="51"/>
  <c r="AA16" i="50" l="1"/>
  <c r="T16" i="50"/>
  <c r="M16" i="50"/>
  <c r="F16" i="50"/>
  <c r="D16" i="50"/>
  <c r="AJ15" i="50" l="1"/>
  <c r="AJ14" i="50"/>
  <c r="AI14" i="50" s="1"/>
  <c r="AJ13" i="50"/>
  <c r="AJ12" i="50"/>
  <c r="AI12" i="50" s="1"/>
  <c r="AJ11" i="50"/>
  <c r="AJ10" i="50"/>
  <c r="AI10" i="50" s="1"/>
  <c r="AJ9" i="50"/>
  <c r="AJ8" i="50"/>
  <c r="AI8" i="50" s="1"/>
  <c r="AJ7" i="50"/>
  <c r="AJ6" i="50"/>
  <c r="AI6" i="50" s="1"/>
  <c r="AJ5" i="50"/>
  <c r="AJ4" i="50"/>
  <c r="AJ3" i="50"/>
  <c r="AI3" i="50" l="1"/>
  <c r="AJ16" i="50"/>
  <c r="AK10" i="50"/>
  <c r="AK7" i="50"/>
  <c r="AK11" i="50"/>
  <c r="AK15" i="50"/>
  <c r="AK9" i="50"/>
  <c r="AK13" i="50"/>
  <c r="AK8" i="50"/>
  <c r="AI5" i="50"/>
  <c r="AK5" i="50"/>
  <c r="AI7" i="50"/>
  <c r="AI9" i="50"/>
  <c r="AI11" i="50"/>
  <c r="AI13" i="50"/>
  <c r="AI15" i="50"/>
  <c r="AK6" i="50"/>
  <c r="AK12" i="50"/>
  <c r="AK14" i="50"/>
  <c r="D16" i="49"/>
  <c r="AC16" i="49"/>
  <c r="V16" i="49"/>
  <c r="O16" i="49"/>
  <c r="H16" i="49"/>
  <c r="AI16" i="50" l="1"/>
  <c r="AK18" i="50"/>
  <c r="D18" i="50"/>
  <c r="D19" i="50"/>
  <c r="AK16" i="50"/>
  <c r="AJ15" i="49"/>
  <c r="AJ14" i="49"/>
  <c r="AI14" i="49" s="1"/>
  <c r="AJ13" i="49"/>
  <c r="AJ12" i="49"/>
  <c r="AI12" i="49" s="1"/>
  <c r="AJ11" i="49"/>
  <c r="AJ10" i="49"/>
  <c r="AI10" i="49" s="1"/>
  <c r="AJ9" i="49"/>
  <c r="AJ8" i="49"/>
  <c r="AI8" i="49" s="1"/>
  <c r="AJ7" i="49"/>
  <c r="AJ6" i="49"/>
  <c r="AI6" i="49" s="1"/>
  <c r="AJ5" i="49"/>
  <c r="AJ4" i="49"/>
  <c r="AJ3" i="49"/>
  <c r="AI3" i="49" l="1"/>
  <c r="AK7" i="49"/>
  <c r="AK11" i="49"/>
  <c r="AK15" i="49"/>
  <c r="AJ16" i="49"/>
  <c r="AK18" i="49" s="1"/>
  <c r="AK9" i="49"/>
  <c r="AK13" i="49"/>
  <c r="AI5" i="49"/>
  <c r="AK5" i="49"/>
  <c r="AI7" i="49"/>
  <c r="AI9" i="49"/>
  <c r="AI11" i="49"/>
  <c r="AI13" i="49"/>
  <c r="AI15" i="49"/>
  <c r="AK6" i="49"/>
  <c r="AK8" i="49"/>
  <c r="AK10" i="49"/>
  <c r="AK12" i="49"/>
  <c r="AK14" i="49"/>
  <c r="AF16" i="48"/>
  <c r="Y16" i="48"/>
  <c r="R16" i="48"/>
  <c r="K16" i="48"/>
  <c r="D16" i="48"/>
  <c r="AJ15" i="48"/>
  <c r="AJ14" i="48"/>
  <c r="AJ13" i="48"/>
  <c r="AJ12" i="48"/>
  <c r="AJ11" i="48"/>
  <c r="AJ10" i="48"/>
  <c r="AJ9" i="48"/>
  <c r="AJ8" i="48"/>
  <c r="AJ7" i="48"/>
  <c r="AJ6" i="48"/>
  <c r="AJ5" i="48"/>
  <c r="AJ4" i="48"/>
  <c r="AJ3" i="48"/>
  <c r="D18" i="49" l="1"/>
  <c r="D19" i="49"/>
  <c r="AI16" i="49"/>
  <c r="AK16" i="49"/>
  <c r="AI3" i="48"/>
  <c r="AK6" i="48"/>
  <c r="AK8" i="48"/>
  <c r="AK10" i="48"/>
  <c r="AK12" i="48"/>
  <c r="AK14" i="48"/>
  <c r="AJ16" i="48"/>
  <c r="AI16" i="48" s="1"/>
  <c r="AK7" i="48"/>
  <c r="AK9" i="48"/>
  <c r="AK11" i="48"/>
  <c r="AK13" i="48"/>
  <c r="AK15" i="48"/>
  <c r="AI5" i="48"/>
  <c r="AK5" i="48"/>
  <c r="AI7" i="48"/>
  <c r="AI9" i="48"/>
  <c r="AI11" i="48"/>
  <c r="AI13" i="48"/>
  <c r="AI15" i="48"/>
  <c r="AI6" i="48"/>
  <c r="AI8" i="48"/>
  <c r="AI10" i="48"/>
  <c r="AI12" i="48"/>
  <c r="AI14" i="48"/>
  <c r="D16" i="47"/>
  <c r="D18" i="48" l="1"/>
  <c r="AK16" i="48"/>
  <c r="AK18" i="48"/>
  <c r="D19" i="48"/>
  <c r="AB16" i="47"/>
  <c r="U16" i="47"/>
  <c r="N16" i="47"/>
  <c r="G16" i="47"/>
  <c r="AJ15" i="47"/>
  <c r="AJ14" i="47"/>
  <c r="AI14" i="47" s="1"/>
  <c r="AJ13" i="47"/>
  <c r="AJ12" i="47"/>
  <c r="AI12" i="47" s="1"/>
  <c r="AJ11" i="47"/>
  <c r="AJ10" i="47"/>
  <c r="AI10" i="47" s="1"/>
  <c r="AJ9" i="47"/>
  <c r="AJ8" i="47"/>
  <c r="AI8" i="47" s="1"/>
  <c r="AJ7" i="47"/>
  <c r="AJ6" i="47"/>
  <c r="AI6" i="47" s="1"/>
  <c r="AJ5" i="47"/>
  <c r="AJ4" i="47"/>
  <c r="AJ3" i="47"/>
  <c r="AI3" i="47" l="1"/>
  <c r="AK7" i="47"/>
  <c r="AK11" i="47"/>
  <c r="AK15" i="47"/>
  <c r="AJ16" i="47"/>
  <c r="AI16" i="47" s="1"/>
  <c r="AK9" i="47"/>
  <c r="AK13" i="47"/>
  <c r="AI5" i="47"/>
  <c r="AK5" i="47"/>
  <c r="AI7" i="47"/>
  <c r="AI9" i="47"/>
  <c r="AI11" i="47"/>
  <c r="AI13" i="47"/>
  <c r="AI15" i="47"/>
  <c r="AK6" i="47"/>
  <c r="AK8" i="47"/>
  <c r="AK10" i="47"/>
  <c r="AK12" i="47"/>
  <c r="AK14" i="47"/>
  <c r="D16" i="46"/>
  <c r="AG16" i="45"/>
  <c r="D18" i="47" l="1"/>
  <c r="AK18" i="47"/>
  <c r="D19" i="47"/>
  <c r="AK16" i="47"/>
  <c r="Z16" i="45"/>
  <c r="S16" i="45"/>
  <c r="L16" i="45"/>
  <c r="E16" i="45"/>
  <c r="AD16" i="46"/>
  <c r="W16" i="46"/>
  <c r="P16" i="46"/>
  <c r="I16" i="46"/>
  <c r="AJ15" i="46"/>
  <c r="AJ14" i="46"/>
  <c r="AI14" i="46" s="1"/>
  <c r="AJ13" i="46"/>
  <c r="AJ12" i="46"/>
  <c r="AJ11" i="46"/>
  <c r="AJ10" i="46"/>
  <c r="AI10" i="46" s="1"/>
  <c r="AJ9" i="46"/>
  <c r="AJ8" i="46"/>
  <c r="AJ7" i="46"/>
  <c r="AJ6" i="46"/>
  <c r="AJ5" i="46"/>
  <c r="AJ4" i="46"/>
  <c r="AJ3" i="46"/>
  <c r="AI3" i="46" l="1"/>
  <c r="AJ16" i="46"/>
  <c r="AI16" i="46" s="1"/>
  <c r="AK7" i="46"/>
  <c r="AK8" i="46"/>
  <c r="AK11" i="46"/>
  <c r="AK12" i="46"/>
  <c r="AK15" i="46"/>
  <c r="AK6" i="46"/>
  <c r="AI8" i="46"/>
  <c r="AK9" i="46"/>
  <c r="AK10" i="46"/>
  <c r="AI12" i="46"/>
  <c r="AK13" i="46"/>
  <c r="AK14" i="46"/>
  <c r="AI5" i="46"/>
  <c r="AK5" i="46"/>
  <c r="AI7" i="46"/>
  <c r="AI9" i="46"/>
  <c r="AI11" i="46"/>
  <c r="AI13" i="46"/>
  <c r="AI15" i="46"/>
  <c r="AI6" i="46"/>
  <c r="AJ15" i="45"/>
  <c r="AI15" i="45" s="1"/>
  <c r="AJ14" i="45"/>
  <c r="AJ13" i="45"/>
  <c r="AI13" i="45" s="1"/>
  <c r="AJ12" i="45"/>
  <c r="AJ11" i="45"/>
  <c r="AI11" i="45" s="1"/>
  <c r="AJ10" i="45"/>
  <c r="AJ9" i="45"/>
  <c r="AI9" i="45" s="1"/>
  <c r="AJ8" i="45"/>
  <c r="AJ7" i="45"/>
  <c r="AI7" i="45" s="1"/>
  <c r="AJ6" i="45"/>
  <c r="AJ5" i="45"/>
  <c r="AJ4" i="45"/>
  <c r="AJ3" i="45"/>
  <c r="AK16" i="46" l="1"/>
  <c r="D18" i="46"/>
  <c r="AK18" i="46"/>
  <c r="D19" i="46"/>
  <c r="AJ16" i="45"/>
  <c r="AI16" i="45" s="1"/>
  <c r="AI5" i="45"/>
  <c r="AK6" i="45"/>
  <c r="AK10" i="45"/>
  <c r="AK14" i="45"/>
  <c r="AK8" i="45"/>
  <c r="AK12" i="45"/>
  <c r="AK7" i="45"/>
  <c r="AK9" i="45"/>
  <c r="AK11" i="45"/>
  <c r="AK13" i="45"/>
  <c r="AK15" i="45"/>
  <c r="AK5" i="45"/>
  <c r="AI3" i="45"/>
  <c r="AI6" i="45"/>
  <c r="AI8" i="45"/>
  <c r="AI10" i="45"/>
  <c r="AI12" i="45"/>
  <c r="AI14" i="45"/>
  <c r="D16" i="44"/>
  <c r="AB16" i="44"/>
  <c r="U16" i="44"/>
  <c r="N16" i="44"/>
  <c r="G16" i="44"/>
  <c r="AJ15" i="44"/>
  <c r="AJ14" i="44"/>
  <c r="AJ13" i="44"/>
  <c r="AJ12" i="44"/>
  <c r="AJ11" i="44"/>
  <c r="AJ10" i="44"/>
  <c r="AJ9" i="44"/>
  <c r="AJ8" i="44"/>
  <c r="AI8" i="44" s="1"/>
  <c r="AJ7" i="44"/>
  <c r="AJ6" i="44"/>
  <c r="AI6" i="44" s="1"/>
  <c r="AJ5" i="44"/>
  <c r="AJ4" i="44"/>
  <c r="AJ3" i="44"/>
  <c r="AK16" i="45" l="1"/>
  <c r="D18" i="45"/>
  <c r="AK18" i="45"/>
  <c r="D19" i="45"/>
  <c r="AJ16" i="44"/>
  <c r="AI16" i="44" s="1"/>
  <c r="AK9" i="44"/>
  <c r="AK11" i="44"/>
  <c r="AK13" i="44"/>
  <c r="AK15" i="44"/>
  <c r="AI3" i="44"/>
  <c r="AK6" i="44"/>
  <c r="AK7" i="44"/>
  <c r="AK8" i="44"/>
  <c r="AK10" i="44"/>
  <c r="AK12" i="44"/>
  <c r="AK14" i="44"/>
  <c r="AI5" i="44"/>
  <c r="AK5" i="44"/>
  <c r="AI7" i="44"/>
  <c r="AI9" i="44"/>
  <c r="AI11" i="44"/>
  <c r="AI13" i="44"/>
  <c r="AI15" i="44"/>
  <c r="AI10" i="44"/>
  <c r="AI12" i="44"/>
  <c r="AI14" i="44"/>
  <c r="AE16" i="43"/>
  <c r="X16" i="43"/>
  <c r="Q16" i="43"/>
  <c r="J16" i="43"/>
  <c r="D16" i="43"/>
  <c r="AK16" i="44" l="1"/>
  <c r="D18" i="44"/>
  <c r="AK18" i="44"/>
  <c r="D19" i="44"/>
  <c r="AJ15" i="43"/>
  <c r="AJ14" i="43"/>
  <c r="AJ13" i="43"/>
  <c r="AJ12" i="43"/>
  <c r="AJ11" i="43"/>
  <c r="AJ10" i="43"/>
  <c r="AJ9" i="43"/>
  <c r="AJ8" i="43"/>
  <c r="AJ7" i="43"/>
  <c r="AJ6" i="43"/>
  <c r="AJ5" i="43"/>
  <c r="AJ4" i="43"/>
  <c r="AJ3" i="43"/>
  <c r="AJ16" i="43" l="1"/>
  <c r="AI16" i="43" s="1"/>
  <c r="AI3" i="43"/>
  <c r="AK6" i="43"/>
  <c r="AK8" i="43"/>
  <c r="AK10" i="43"/>
  <c r="AK12" i="43"/>
  <c r="AK14" i="43"/>
  <c r="AK7" i="43"/>
  <c r="AK9" i="43"/>
  <c r="AK11" i="43"/>
  <c r="AK13" i="43"/>
  <c r="AK15" i="43"/>
  <c r="AI6" i="43"/>
  <c r="AI8" i="43"/>
  <c r="AI10" i="43"/>
  <c r="AI12" i="43"/>
  <c r="AI14" i="43"/>
  <c r="AI5" i="43"/>
  <c r="AK5" i="43"/>
  <c r="AI7" i="43"/>
  <c r="AI9" i="43"/>
  <c r="AI11" i="43"/>
  <c r="AI13" i="43"/>
  <c r="AI15" i="43"/>
  <c r="Y16" i="41"/>
  <c r="R16" i="41"/>
  <c r="K16" i="41"/>
  <c r="D16" i="41"/>
  <c r="D18" i="43" l="1"/>
  <c r="AK16" i="43"/>
  <c r="AK18" i="43"/>
  <c r="D19" i="43"/>
  <c r="AJ15" i="41"/>
  <c r="AJ14" i="41"/>
  <c r="AJ13" i="41"/>
  <c r="AJ12" i="41"/>
  <c r="AJ11" i="41"/>
  <c r="AJ10" i="41"/>
  <c r="AJ9" i="41"/>
  <c r="AJ8" i="41"/>
  <c r="AJ7" i="41"/>
  <c r="AJ6" i="41"/>
  <c r="AJ5" i="41"/>
  <c r="AJ4" i="41"/>
  <c r="AJ3" i="41"/>
  <c r="AI3" i="41" l="1"/>
  <c r="AJ16" i="41"/>
  <c r="AI16" i="41" s="1"/>
  <c r="AK7" i="41"/>
  <c r="AK9" i="41"/>
  <c r="AK11" i="41"/>
  <c r="AK13" i="41"/>
  <c r="AK15" i="41"/>
  <c r="AK6" i="41"/>
  <c r="AK8" i="41"/>
  <c r="AK10" i="41"/>
  <c r="AK12" i="41"/>
  <c r="AK14" i="41"/>
  <c r="AI5" i="41"/>
  <c r="AK5" i="41"/>
  <c r="AI7" i="41"/>
  <c r="AI9" i="41"/>
  <c r="AI11" i="41"/>
  <c r="AI13" i="41"/>
  <c r="AI15" i="41"/>
  <c r="AI6" i="41"/>
  <c r="AI8" i="41"/>
  <c r="AI10" i="41"/>
  <c r="AI12" i="41"/>
  <c r="AI14" i="41"/>
  <c r="AB16" i="40"/>
  <c r="U16" i="40"/>
  <c r="N16" i="40"/>
  <c r="G16" i="40"/>
  <c r="D16" i="40"/>
  <c r="D18" i="41" l="1"/>
  <c r="AK18" i="41"/>
  <c r="D19" i="41"/>
  <c r="AK16" i="41"/>
  <c r="AJ15" i="40"/>
  <c r="AJ14" i="40"/>
  <c r="AI14" i="40" s="1"/>
  <c r="AJ13" i="40"/>
  <c r="AJ12" i="40"/>
  <c r="AI12" i="40" s="1"/>
  <c r="AJ11" i="40"/>
  <c r="AJ10" i="40"/>
  <c r="AI10" i="40" s="1"/>
  <c r="AJ9" i="40"/>
  <c r="AJ8" i="40"/>
  <c r="AI8" i="40" s="1"/>
  <c r="AJ7" i="40"/>
  <c r="AJ6" i="40"/>
  <c r="AI6" i="40" s="1"/>
  <c r="AJ5" i="40"/>
  <c r="AJ4" i="40"/>
  <c r="AJ3" i="40"/>
  <c r="AJ16" i="40" l="1"/>
  <c r="AI16" i="40" s="1"/>
  <c r="AK9" i="40"/>
  <c r="AK13" i="40"/>
  <c r="AI3" i="40"/>
  <c r="AK7" i="40"/>
  <c r="AK11" i="40"/>
  <c r="AK15" i="40"/>
  <c r="AK6" i="40"/>
  <c r="AK8" i="40"/>
  <c r="AK10" i="40"/>
  <c r="AK12" i="40"/>
  <c r="AK14" i="40"/>
  <c r="AI5" i="40"/>
  <c r="AK5" i="40"/>
  <c r="AI7" i="40"/>
  <c r="AI9" i="40"/>
  <c r="AI11" i="40"/>
  <c r="AI13" i="40"/>
  <c r="AI15" i="40"/>
  <c r="D18" i="40" l="1"/>
  <c r="AK16" i="40"/>
  <c r="AK18" i="40"/>
  <c r="D19" i="40"/>
</calcChain>
</file>

<file path=xl/sharedStrings.xml><?xml version="1.0" encoding="utf-8"?>
<sst xmlns="http://schemas.openxmlformats.org/spreadsheetml/2006/main" count="666" uniqueCount="31">
  <si>
    <t>Доходы</t>
  </si>
  <si>
    <t>Зарплата</t>
  </si>
  <si>
    <t>Расходы</t>
  </si>
  <si>
    <t>Потребности</t>
  </si>
  <si>
    <t>Развлечения</t>
  </si>
  <si>
    <t>Квартира</t>
  </si>
  <si>
    <t>Проезд</t>
  </si>
  <si>
    <t>Другое</t>
  </si>
  <si>
    <t>Алкоголь</t>
  </si>
  <si>
    <t>Всего</t>
  </si>
  <si>
    <t>вс</t>
  </si>
  <si>
    <t>сб</t>
  </si>
  <si>
    <t>пт</t>
  </si>
  <si>
    <t>чт</t>
  </si>
  <si>
    <t>ср</t>
  </si>
  <si>
    <t>вт</t>
  </si>
  <si>
    <t>пн</t>
  </si>
  <si>
    <t>Всего за месяц</t>
  </si>
  <si>
    <t>%</t>
  </si>
  <si>
    <t>Прибыль</t>
  </si>
  <si>
    <t>Здоровье</t>
  </si>
  <si>
    <t>Хоз.Товары</t>
  </si>
  <si>
    <t>В среднем</t>
  </si>
  <si>
    <t>Питание</t>
  </si>
  <si>
    <t>Другие доходы</t>
  </si>
  <si>
    <t>Баланс на нач. мес.</t>
  </si>
  <si>
    <t>Баланс на кон. мес.</t>
  </si>
  <si>
    <t>Мероприятия</t>
  </si>
  <si>
    <t xml:space="preserve"> </t>
  </si>
  <si>
    <t>Вещи</t>
  </si>
  <si>
    <t>Закуски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</si>
</sst>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>
      <left/>
      <right/>
      <top/>
      <bottom/>
      <diagonal style="thin">
        <color auto="1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/>
      <right style="thin">
        <color indexed="64"/>
      </right>
      <top/>
      <bottom style="thin">
        <color indexed="64"/>
      </bottom>
      <diagonal style="thin">
        <color auto="1"/>
      </diagonal>
    </border>
    <border diagonalUp="1">
      <left/>
      <right style="thin">
        <color indexed="64"/>
      </right>
      <top/>
      <bottom/>
      <diagonal style="thin">
        <color auto="1"/>
      </diagonal>
    </border>
    <border diagonalUp="1">
      <left/>
      <right/>
      <top/>
      <bottom style="thin">
        <color indexed="64"/>
      </bottom>
      <diagonal style="thin">
        <color auto="1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0" borderId="0" xfId="0" applyFont="1"/>
    <xf numFmtId="0" fontId="1" fillId="3" borderId="3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2" fillId="4" borderId="1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5" borderId="12" xfId="0" applyNumberFormat="1" applyFont="1" applyFill="1" applyBorder="1" applyAlignment="1">
      <alignment horizontal="center" vertical="center"/>
    </xf>
    <xf numFmtId="0" fontId="1" fillId="8" borderId="12" xfId="0" applyFont="1" applyFill="1" applyBorder="1"/>
    <xf numFmtId="0" fontId="1" fillId="8" borderId="1" xfId="0" applyFont="1" applyFill="1" applyBorder="1"/>
    <xf numFmtId="0" fontId="1" fillId="8" borderId="14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2" fontId="2" fillId="5" borderId="12" xfId="0" applyNumberFormat="1" applyFont="1" applyFill="1" applyBorder="1" applyAlignment="1">
      <alignment horizontal="center" vertical="center"/>
    </xf>
    <xf numFmtId="0" fontId="2" fillId="6" borderId="1" xfId="0" applyFont="1" applyFill="1" applyBorder="1"/>
    <xf numFmtId="0" fontId="1" fillId="8" borderId="1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0" fontId="5" fillId="2" borderId="4" xfId="0" applyFont="1" applyFill="1" applyBorder="1"/>
    <xf numFmtId="0" fontId="5" fillId="3" borderId="3" xfId="0" applyFont="1" applyFill="1" applyBorder="1"/>
    <xf numFmtId="0" fontId="5" fillId="3" borderId="1" xfId="0" applyFont="1" applyFill="1" applyBorder="1"/>
    <xf numFmtId="0" fontId="5" fillId="3" borderId="4" xfId="0" applyFont="1" applyFill="1" applyBorder="1"/>
    <xf numFmtId="0" fontId="5" fillId="4" borderId="1" xfId="0" applyFont="1" applyFill="1" applyBorder="1"/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2" fillId="6" borderId="1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2" fillId="5" borderId="13" xfId="0" applyFont="1" applyFill="1" applyBorder="1" applyAlignment="1">
      <alignment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 textRotation="90"/>
    </xf>
    <xf numFmtId="0" fontId="4" fillId="7" borderId="3" xfId="0" applyFont="1" applyFill="1" applyBorder="1" applyAlignment="1">
      <alignment horizontal="center" vertical="center" textRotation="90"/>
    </xf>
    <xf numFmtId="0" fontId="4" fillId="7" borderId="4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/>
    </xf>
    <xf numFmtId="0" fontId="5" fillId="4" borderId="2" xfId="0" applyFont="1" applyFill="1" applyBorder="1" applyAlignment="1">
      <alignment horizontal="center" textRotation="90"/>
    </xf>
    <xf numFmtId="0" fontId="5" fillId="4" borderId="3" xfId="0" applyFont="1" applyFill="1" applyBorder="1" applyAlignment="1">
      <alignment horizontal="center" textRotation="90"/>
    </xf>
    <xf numFmtId="0" fontId="5" fillId="4" borderId="4" xfId="0" applyFont="1" applyFill="1" applyBorder="1" applyAlignment="1">
      <alignment horizontal="center" textRotation="90"/>
    </xf>
    <xf numFmtId="0" fontId="3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right"/>
    </xf>
    <xf numFmtId="0" fontId="2" fillId="6" borderId="14" xfId="0" applyFont="1" applyFill="1" applyBorder="1" applyAlignment="1">
      <alignment horizontal="right"/>
    </xf>
    <xf numFmtId="0" fontId="2" fillId="6" borderId="12" xfId="0" applyFont="1" applyFill="1" applyBorder="1" applyAlignment="1">
      <alignment horizontal="right"/>
    </xf>
    <xf numFmtId="0" fontId="2" fillId="6" borderId="14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right" vertical="center"/>
    </xf>
    <xf numFmtId="0" fontId="2" fillId="6" borderId="18" xfId="0" applyFont="1" applyFill="1" applyBorder="1" applyAlignment="1">
      <alignment horizontal="right" vertical="center"/>
    </xf>
    <xf numFmtId="0" fontId="2" fillId="6" borderId="14" xfId="0" applyFont="1" applyFill="1" applyBorder="1" applyAlignment="1">
      <alignment horizontal="right" vertical="center"/>
    </xf>
    <xf numFmtId="0" fontId="2" fillId="6" borderId="12" xfId="0" applyFont="1" applyFill="1" applyBorder="1" applyAlignment="1">
      <alignment horizontal="right" vertical="center"/>
    </xf>
    <xf numFmtId="0" fontId="2" fillId="6" borderId="13" xfId="0" applyFont="1" applyFill="1" applyBorder="1" applyAlignment="1">
      <alignment horizontal="right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12</v>
      </c>
      <c r="E1" s="36" t="s">
        <v>11</v>
      </c>
      <c r="F1" s="37" t="s">
        <v>10</v>
      </c>
      <c r="G1" s="55" t="s">
        <v>16</v>
      </c>
      <c r="H1" s="36" t="s">
        <v>15</v>
      </c>
      <c r="I1" s="37" t="s">
        <v>14</v>
      </c>
      <c r="J1" s="36" t="s">
        <v>13</v>
      </c>
      <c r="K1" s="36" t="s">
        <v>12</v>
      </c>
      <c r="L1" s="36" t="s">
        <v>11</v>
      </c>
      <c r="M1" s="37" t="s">
        <v>10</v>
      </c>
      <c r="N1" s="55" t="s">
        <v>16</v>
      </c>
      <c r="O1" s="36" t="s">
        <v>15</v>
      </c>
      <c r="P1" s="37" t="s">
        <v>14</v>
      </c>
      <c r="Q1" s="36" t="s">
        <v>13</v>
      </c>
      <c r="R1" s="36" t="s">
        <v>12</v>
      </c>
      <c r="S1" s="36" t="s">
        <v>11</v>
      </c>
      <c r="T1" s="37" t="s">
        <v>10</v>
      </c>
      <c r="U1" s="55" t="s">
        <v>16</v>
      </c>
      <c r="V1" s="36" t="s">
        <v>15</v>
      </c>
      <c r="W1" s="37" t="s">
        <v>14</v>
      </c>
      <c r="X1" s="36" t="s">
        <v>13</v>
      </c>
      <c r="Y1" s="36" t="s">
        <v>12</v>
      </c>
      <c r="Z1" s="36" t="s">
        <v>11</v>
      </c>
      <c r="AA1" s="37" t="s">
        <v>10</v>
      </c>
      <c r="AB1" s="55" t="s">
        <v>16</v>
      </c>
      <c r="AC1" s="36" t="s">
        <v>15</v>
      </c>
      <c r="AD1" s="37" t="s">
        <v>14</v>
      </c>
      <c r="AE1" s="36" t="s">
        <v>13</v>
      </c>
      <c r="AF1" s="36" t="s">
        <v>12</v>
      </c>
      <c r="AG1" s="36" t="s">
        <v>11</v>
      </c>
      <c r="AH1" s="37" t="s">
        <v>10</v>
      </c>
      <c r="AI1" s="94" t="s">
        <v>22</v>
      </c>
      <c r="AJ1" s="96" t="s">
        <v>17</v>
      </c>
      <c r="AK1" s="98" t="s">
        <v>18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>
        <v>1000</v>
      </c>
      <c r="E3" s="15"/>
      <c r="F3" s="15"/>
      <c r="G3" s="15"/>
      <c r="H3" s="15"/>
      <c r="I3" s="18"/>
      <c r="J3" s="16">
        <v>462</v>
      </c>
      <c r="K3" s="15"/>
      <c r="L3" s="15"/>
      <c r="M3" s="15"/>
      <c r="N3" s="15"/>
      <c r="O3" s="15">
        <v>1000</v>
      </c>
      <c r="P3" s="15"/>
      <c r="Q3" s="15"/>
      <c r="R3" s="15"/>
      <c r="S3" s="15"/>
      <c r="T3" s="15"/>
      <c r="U3" s="15">
        <v>500</v>
      </c>
      <c r="V3" s="15"/>
      <c r="W3" s="15"/>
      <c r="X3" s="15"/>
      <c r="Y3" s="15"/>
      <c r="Z3" s="15"/>
      <c r="AA3" s="15"/>
      <c r="AB3" s="15"/>
      <c r="AC3" s="14"/>
      <c r="AD3" s="15"/>
      <c r="AE3" s="17"/>
      <c r="AF3" s="15">
        <v>15</v>
      </c>
      <c r="AG3" s="17"/>
      <c r="AH3" s="15"/>
      <c r="AI3" s="104">
        <f>(AJ3+AJ4)/31</f>
        <v>99.354838709677423</v>
      </c>
      <c r="AJ3" s="48">
        <f>SUM(D3:AH3)</f>
        <v>2977</v>
      </c>
      <c r="AK3" s="106">
        <v>100</v>
      </c>
    </row>
    <row r="4" spans="1:37" ht="18.95" customHeight="1" x14ac:dyDescent="0.3">
      <c r="A4" s="102"/>
      <c r="B4" s="103"/>
      <c r="C4" s="58" t="s">
        <v>24</v>
      </c>
      <c r="D4" s="18"/>
      <c r="E4" s="18"/>
      <c r="F4" s="18"/>
      <c r="G4" s="18"/>
      <c r="H4" s="18"/>
      <c r="I4" s="18">
        <v>38</v>
      </c>
      <c r="J4" s="19"/>
      <c r="K4" s="18"/>
      <c r="L4" s="18">
        <v>19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>
        <v>15</v>
      </c>
      <c r="AC4" s="20"/>
      <c r="AD4" s="18"/>
      <c r="AE4" s="19"/>
      <c r="AF4" s="18"/>
      <c r="AG4" s="19"/>
      <c r="AH4" s="18">
        <v>31</v>
      </c>
      <c r="AI4" s="105"/>
      <c r="AJ4" s="48">
        <f>SUM(D4:AH4)</f>
        <v>103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23</v>
      </c>
      <c r="D5" s="21"/>
      <c r="E5" s="2"/>
      <c r="F5" s="2"/>
      <c r="G5" s="2"/>
      <c r="H5" s="2"/>
      <c r="I5" s="2"/>
      <c r="J5" s="22"/>
      <c r="K5" s="2"/>
      <c r="L5" s="2">
        <v>6</v>
      </c>
      <c r="M5" s="2"/>
      <c r="N5" s="2">
        <v>46</v>
      </c>
      <c r="O5" s="2">
        <v>4</v>
      </c>
      <c r="P5" s="2"/>
      <c r="Q5" s="2"/>
      <c r="R5" s="2"/>
      <c r="S5" s="2"/>
      <c r="T5" s="2"/>
      <c r="U5" s="2">
        <v>6</v>
      </c>
      <c r="V5" s="2"/>
      <c r="W5" s="2"/>
      <c r="X5" s="2"/>
      <c r="Y5" s="2"/>
      <c r="Z5" s="2"/>
      <c r="AA5" s="2"/>
      <c r="AB5" s="2"/>
      <c r="AC5" s="21">
        <v>14</v>
      </c>
      <c r="AD5" s="2">
        <v>19</v>
      </c>
      <c r="AE5" s="23"/>
      <c r="AF5" s="2"/>
      <c r="AG5" s="23"/>
      <c r="AH5" s="2"/>
      <c r="AI5" s="43">
        <f t="shared" ref="AI5:AI15" si="0">AJ5/31</f>
        <v>3.064516129032258</v>
      </c>
      <c r="AJ5" s="32">
        <f>SUM(D5,E5,F5,G5,H5,I5,J5,K5,L5,M5,N5,O5,P5,Q5,R5,S5,T5,U5,V5,W5,X5,Y5,Z5,AA5,AB5,AC5,AD5,AE5,AF5,AG5,AH5)</f>
        <v>95</v>
      </c>
      <c r="AK5" s="3">
        <f>(AJ5/(AJ3+AJ4))*100</f>
        <v>3.0844155844155843</v>
      </c>
    </row>
    <row r="6" spans="1:37" ht="18.95" customHeight="1" x14ac:dyDescent="0.3">
      <c r="A6" s="88"/>
      <c r="B6" s="90"/>
      <c r="C6" s="60" t="s">
        <v>6</v>
      </c>
      <c r="D6" s="4"/>
      <c r="E6" s="4"/>
      <c r="F6" s="4"/>
      <c r="G6" s="4"/>
      <c r="H6" s="4"/>
      <c r="I6" s="4"/>
      <c r="J6" s="24"/>
      <c r="K6" s="4"/>
      <c r="L6" s="4">
        <v>25</v>
      </c>
      <c r="M6" s="4"/>
      <c r="N6" s="4">
        <v>5</v>
      </c>
      <c r="O6" s="4"/>
      <c r="P6" s="4">
        <v>5</v>
      </c>
      <c r="Q6" s="4">
        <v>30</v>
      </c>
      <c r="R6" s="4"/>
      <c r="S6" s="4"/>
      <c r="T6" s="4">
        <v>25</v>
      </c>
      <c r="U6" s="4">
        <v>23</v>
      </c>
      <c r="V6" s="4">
        <v>50</v>
      </c>
      <c r="W6" s="4"/>
      <c r="X6" s="4">
        <v>25</v>
      </c>
      <c r="Y6" s="4"/>
      <c r="Z6" s="4"/>
      <c r="AA6" s="4"/>
      <c r="AB6" s="4">
        <v>67</v>
      </c>
      <c r="AC6" s="25"/>
      <c r="AD6" s="4">
        <v>24</v>
      </c>
      <c r="AE6" s="24"/>
      <c r="AF6" s="4">
        <v>3</v>
      </c>
      <c r="AG6" s="24"/>
      <c r="AH6" s="4">
        <v>25</v>
      </c>
      <c r="AI6" s="44">
        <f t="shared" si="0"/>
        <v>9.9032258064516121</v>
      </c>
      <c r="AJ6" s="33">
        <f>SUM(D6,E6,F6,G6,H6,I6,J6,K6,L6,M6,N6,O6,P6,Q6,R6,S6,T6,U6,V6,W6,X6,Y6,Z6,AA6,AB6,AC6,AD6,AE6,AF6,AG6,AH6)</f>
        <v>307</v>
      </c>
      <c r="AK6" s="5">
        <f>(AJ6/(AJ3+AJ4))*100</f>
        <v>9.9675324675324681</v>
      </c>
    </row>
    <row r="7" spans="1:37" ht="18.95" customHeight="1" x14ac:dyDescent="0.3">
      <c r="A7" s="88"/>
      <c r="B7" s="90"/>
      <c r="C7" s="60" t="s">
        <v>20</v>
      </c>
      <c r="D7" s="25"/>
      <c r="E7" s="4"/>
      <c r="F7" s="4"/>
      <c r="G7" s="4"/>
      <c r="H7" s="4"/>
      <c r="I7" s="4"/>
      <c r="J7" s="24"/>
      <c r="K7" s="4"/>
      <c r="L7" s="4"/>
      <c r="M7" s="4"/>
      <c r="N7" s="4">
        <v>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>
        <v>141</v>
      </c>
      <c r="AG7" s="24"/>
      <c r="AH7" s="4"/>
      <c r="AI7" s="44">
        <f t="shared" si="0"/>
        <v>4.709677419354839</v>
      </c>
      <c r="AJ7" s="33">
        <f>SUM(D7,E7,F7,G7,H7,I7,J7,K7,L7,M7,N7,O7,P7,Q7,R7,S7,T7,U7,V7,W7,X7,Y7,Z7,AA7,AB7,AC7,AD7,AE7,AF7,AG7,AH7)</f>
        <v>146</v>
      </c>
      <c r="AK7" s="5">
        <f>(AJ7/(AJ3+AJ4))*100</f>
        <v>4.7402597402597406</v>
      </c>
    </row>
    <row r="8" spans="1:37" ht="18.95" customHeight="1" x14ac:dyDescent="0.3">
      <c r="A8" s="88"/>
      <c r="B8" s="90"/>
      <c r="C8" s="61" t="s">
        <v>21</v>
      </c>
      <c r="D8" s="38"/>
      <c r="E8" s="39"/>
      <c r="F8" s="39"/>
      <c r="G8" s="39"/>
      <c r="H8" s="39"/>
      <c r="I8" s="39"/>
      <c r="J8" s="40"/>
      <c r="K8" s="39"/>
      <c r="L8" s="39"/>
      <c r="M8" s="39"/>
      <c r="N8" s="39"/>
      <c r="O8" s="39"/>
      <c r="P8" s="39">
        <v>15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8"/>
      <c r="AD8" s="39"/>
      <c r="AE8" s="40"/>
      <c r="AF8" s="39"/>
      <c r="AG8" s="40"/>
      <c r="AH8" s="39"/>
      <c r="AI8" s="47">
        <f t="shared" si="0"/>
        <v>0.4838709677419355</v>
      </c>
      <c r="AJ8" s="41">
        <f>SUM(D8,E8,F8,G8,H8,I8,J8,K8,L8,M8,N8,O8,P8,Q8,R8,S8,T8,U8,V8,W8,X8,Y8,Z8,AA8,AB8,AC8,AD8,AE8,AF8,AG8,AH8)</f>
        <v>15</v>
      </c>
      <c r="AK8" s="42">
        <f>(AJ8/(AJ3+AJ4))*100</f>
        <v>0.48701298701298701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>
        <v>21</v>
      </c>
      <c r="O9" s="2"/>
      <c r="P9" s="2"/>
      <c r="Q9" s="2">
        <v>122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4.612903225806452</v>
      </c>
      <c r="AJ9" s="32">
        <f>SUM(D9,E9,F9,G9,H9,I9,J9,K9,L9,M9,N9,O9,P9,Q9,R9,S9,T9,U9,V9,W9,X9,Y9,Z9,AA9,AB9,AC9,AD9,AE9,AF9,AG9,AH9)</f>
        <v>143</v>
      </c>
      <c r="AK9" s="3">
        <f>(AJ9/(AJ3+AJ4))*100</f>
        <v>4.6428571428571432</v>
      </c>
    </row>
    <row r="10" spans="1:37" ht="18.95" customHeight="1" x14ac:dyDescent="0.3">
      <c r="A10" s="88"/>
      <c r="B10" s="90"/>
      <c r="C10" s="60" t="s">
        <v>29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7</v>
      </c>
      <c r="D11" s="21"/>
      <c r="E11" s="2"/>
      <c r="F11" s="2"/>
      <c r="G11" s="2"/>
      <c r="H11" s="2"/>
      <c r="I11" s="2"/>
      <c r="J11" s="22"/>
      <c r="K11" s="2"/>
      <c r="L11" s="2"/>
      <c r="M11" s="2"/>
      <c r="N11" s="2">
        <v>80</v>
      </c>
      <c r="O11" s="2"/>
      <c r="P11" s="2">
        <v>19</v>
      </c>
      <c r="Q11" s="2"/>
      <c r="R11" s="2"/>
      <c r="S11" s="2"/>
      <c r="T11" s="2"/>
      <c r="U11" s="2"/>
      <c r="V11" s="2"/>
      <c r="W11" s="2"/>
      <c r="X11" s="2">
        <v>768</v>
      </c>
      <c r="Y11" s="2"/>
      <c r="Z11" s="2"/>
      <c r="AA11" s="2"/>
      <c r="AB11" s="2"/>
      <c r="AC11" s="21"/>
      <c r="AD11" s="2">
        <v>19</v>
      </c>
      <c r="AE11" s="23"/>
      <c r="AF11" s="2"/>
      <c r="AG11" s="23"/>
      <c r="AH11" s="2"/>
      <c r="AI11" s="43">
        <f t="shared" si="0"/>
        <v>28.580645161290324</v>
      </c>
      <c r="AJ11" s="32">
        <f>SUM(D11,E11,F11,G11,H11,I11,J11,K11,L11,M11,N11,O11,P11,Q11,R11,S11,T11,U11,V11,W11,X11,Y11,Z11,AA11,AB11,AC11,AD11,AE11,AF11,AG11,AH11)</f>
        <v>886</v>
      </c>
      <c r="AK11" s="3">
        <f>(AJ11/(AJ3+AJ4))*100</f>
        <v>28.766233766233768</v>
      </c>
    </row>
    <row r="12" spans="1:37" ht="18.95" customHeight="1" x14ac:dyDescent="0.3">
      <c r="A12" s="88"/>
      <c r="B12" s="91" t="s">
        <v>4</v>
      </c>
      <c r="C12" s="62" t="s">
        <v>8</v>
      </c>
      <c r="D12" s="6"/>
      <c r="E12" s="6"/>
      <c r="F12" s="6"/>
      <c r="G12" s="6">
        <v>64</v>
      </c>
      <c r="H12" s="6">
        <v>52</v>
      </c>
      <c r="I12" s="6"/>
      <c r="J12" s="26"/>
      <c r="K12" s="6">
        <v>28</v>
      </c>
      <c r="L12" s="6"/>
      <c r="M12" s="6"/>
      <c r="N12" s="6"/>
      <c r="O12" s="6"/>
      <c r="P12" s="6"/>
      <c r="Q12" s="6"/>
      <c r="R12" s="6">
        <v>35</v>
      </c>
      <c r="S12" s="6"/>
      <c r="T12" s="6"/>
      <c r="U12" s="6"/>
      <c r="V12" s="6"/>
      <c r="W12" s="6"/>
      <c r="X12" s="6"/>
      <c r="Y12" s="6"/>
      <c r="Z12" s="6"/>
      <c r="AA12" s="6"/>
      <c r="AB12" s="6">
        <v>27</v>
      </c>
      <c r="AC12" s="27"/>
      <c r="AD12" s="6"/>
      <c r="AE12" s="26"/>
      <c r="AF12" s="6"/>
      <c r="AG12" s="26"/>
      <c r="AH12" s="6"/>
      <c r="AI12" s="45">
        <f t="shared" si="0"/>
        <v>6.645161290322581</v>
      </c>
      <c r="AJ12" s="34">
        <f>SUM(D12,E12,F12,G12,H12,I12,J12,K12,L12,M12,N12,O12,P12,Q12,R12,S12,T12,U12,V12,W12,X12,Y12,Z12,AA12,AB12,AC12,AD12,AE12,AF12,AG12,AH12)</f>
        <v>206</v>
      </c>
      <c r="AK12" s="7">
        <f>(AJ12/(AJ3+AJ4))*100</f>
        <v>6.6883116883116873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>
        <v>18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0.58064516129032262</v>
      </c>
      <c r="AJ13" s="35">
        <f t="shared" si="1"/>
        <v>18</v>
      </c>
      <c r="AK13" s="9">
        <f>(AJ13/(AJ3+AJ4))*100</f>
        <v>0.58441558441558439</v>
      </c>
    </row>
    <row r="14" spans="1:37" ht="18.95" customHeight="1" x14ac:dyDescent="0.3">
      <c r="A14" s="88"/>
      <c r="B14" s="92"/>
      <c r="C14" s="56" t="s">
        <v>27</v>
      </c>
      <c r="D14" s="6"/>
      <c r="E14" s="6"/>
      <c r="F14" s="6">
        <v>76</v>
      </c>
      <c r="G14" s="6"/>
      <c r="H14" s="6"/>
      <c r="I14" s="6"/>
      <c r="J14" s="26">
        <v>95</v>
      </c>
      <c r="K14" s="6"/>
      <c r="L14" s="6"/>
      <c r="M14" s="6"/>
      <c r="N14" s="6"/>
      <c r="O14" s="6"/>
      <c r="P14" s="6"/>
      <c r="Q14" s="6">
        <v>19</v>
      </c>
      <c r="R14" s="6"/>
      <c r="S14" s="6">
        <v>27</v>
      </c>
      <c r="T14" s="6"/>
      <c r="U14" s="6"/>
      <c r="V14" s="6"/>
      <c r="W14" s="6"/>
      <c r="X14" s="6">
        <v>61</v>
      </c>
      <c r="Y14" s="6"/>
      <c r="Z14" s="6">
        <v>114</v>
      </c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12.64516129032258</v>
      </c>
      <c r="AJ14" s="34">
        <f t="shared" si="1"/>
        <v>392</v>
      </c>
      <c r="AK14" s="7">
        <f>(AJ14/(AJ3+AJ4))*100</f>
        <v>12.727272727272727</v>
      </c>
    </row>
    <row r="15" spans="1:37" ht="18.95" customHeight="1" x14ac:dyDescent="0.3">
      <c r="A15" s="88"/>
      <c r="B15" s="93"/>
      <c r="C15" s="68" t="s">
        <v>4</v>
      </c>
      <c r="D15" s="51"/>
      <c r="E15" s="51"/>
      <c r="F15" s="51"/>
      <c r="G15" s="51"/>
      <c r="H15" s="51"/>
      <c r="I15" s="51">
        <v>38</v>
      </c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>
        <v>10</v>
      </c>
      <c r="AC15" s="52"/>
      <c r="AD15" s="51"/>
      <c r="AE15" s="50"/>
      <c r="AF15" s="51"/>
      <c r="AG15" s="50">
        <v>19</v>
      </c>
      <c r="AH15" s="51"/>
      <c r="AI15" s="45">
        <f t="shared" si="0"/>
        <v>2.161290322580645</v>
      </c>
      <c r="AJ15" s="34">
        <f>SUM(D15,E15,F15,G15,H15,I15,J15,K15,L15,M15,N15,O15,P15,Q15,R15,S15,T15,U15,V15,W15,X15,Y15,Z15,AA15,AB15,AC15,AD15,AE15,AF15,AG15,AH15)</f>
        <v>67</v>
      </c>
      <c r="AK15" s="7">
        <f>(AJ15/(AJ3+AJ4))*100</f>
        <v>2.1753246753246755</v>
      </c>
    </row>
    <row r="16" spans="1:37" ht="18.399999999999999" customHeight="1" x14ac:dyDescent="0.3">
      <c r="A16" s="89"/>
      <c r="B16" s="80" t="s">
        <v>9</v>
      </c>
      <c r="C16" s="81"/>
      <c r="D16" s="80">
        <f>SUM(D5:F15)+216</f>
        <v>292</v>
      </c>
      <c r="E16" s="81"/>
      <c r="F16" s="82"/>
      <c r="G16" s="80">
        <f>SUM(G5:M15)</f>
        <v>308</v>
      </c>
      <c r="H16" s="81"/>
      <c r="I16" s="81"/>
      <c r="J16" s="81"/>
      <c r="K16" s="81"/>
      <c r="L16" s="81"/>
      <c r="M16" s="82"/>
      <c r="N16" s="80">
        <f>SUM(N5:T15)</f>
        <v>476</v>
      </c>
      <c r="O16" s="81"/>
      <c r="P16" s="81"/>
      <c r="Q16" s="81"/>
      <c r="R16" s="81"/>
      <c r="S16" s="81"/>
      <c r="T16" s="82"/>
      <c r="U16" s="80">
        <f>SUM(U5:AA15)</f>
        <v>1047</v>
      </c>
      <c r="V16" s="81"/>
      <c r="W16" s="81"/>
      <c r="X16" s="81"/>
      <c r="Y16" s="81"/>
      <c r="Z16" s="81"/>
      <c r="AA16" s="82"/>
      <c r="AB16" s="80">
        <f>SUM(AB5:AH15)</f>
        <v>368</v>
      </c>
      <c r="AC16" s="81"/>
      <c r="AD16" s="81"/>
      <c r="AE16" s="81"/>
      <c r="AF16" s="81"/>
      <c r="AG16" s="81"/>
      <c r="AH16" s="82"/>
      <c r="AI16" s="53">
        <f>AJ16/31</f>
        <v>73.387096774193552</v>
      </c>
      <c r="AJ16" s="49">
        <f>SUM(AJ5,AJ6,AJ7,AJ8,AJ9,AJ10,AJ11,AJ12,AJ13,AJ14,AJ15)</f>
        <v>2275</v>
      </c>
      <c r="AK16" s="10">
        <f>SUM(AK5,AK6,AK7,AK8,AK9,AK10,AK11,AK12,AK13,AK14,AK15)</f>
        <v>73.863636363636374</v>
      </c>
    </row>
    <row r="17" spans="1:37" ht="18" customHeight="1" x14ac:dyDescent="0.3">
      <c r="A17" s="114" t="s">
        <v>25</v>
      </c>
      <c r="B17" s="114"/>
      <c r="C17" s="115"/>
      <c r="D17" s="116">
        <v>5848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63"/>
    </row>
    <row r="18" spans="1:37" ht="18" customHeight="1" x14ac:dyDescent="0.3">
      <c r="A18" s="109" t="s">
        <v>19</v>
      </c>
      <c r="B18" s="109"/>
      <c r="C18" s="110"/>
      <c r="D18" s="120">
        <f>(AJ3+AJ4)-AJ16</f>
        <v>805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26.136363636363637</v>
      </c>
    </row>
    <row r="19" spans="1:37" ht="18" customHeight="1" x14ac:dyDescent="0.3">
      <c r="A19" s="108" t="s">
        <v>26</v>
      </c>
      <c r="B19" s="109"/>
      <c r="C19" s="110"/>
      <c r="D19" s="111">
        <f>(AJ3+AJ4+D17)-AJ16</f>
        <v>6653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28</v>
      </c>
    </row>
  </sheetData>
  <mergeCells count="22">
    <mergeCell ref="A19:C19"/>
    <mergeCell ref="D19:AJ19"/>
    <mergeCell ref="A17:C17"/>
    <mergeCell ref="D17:AJ17"/>
    <mergeCell ref="A18:C18"/>
    <mergeCell ref="D18:AJ18"/>
    <mergeCell ref="AI1:AI2"/>
    <mergeCell ref="AJ1:AJ2"/>
    <mergeCell ref="AK1:AK2"/>
    <mergeCell ref="A3:B4"/>
    <mergeCell ref="AI3:AI4"/>
    <mergeCell ref="AK3:AK4"/>
    <mergeCell ref="G16:M16"/>
    <mergeCell ref="N16:T16"/>
    <mergeCell ref="U16:AA16"/>
    <mergeCell ref="AB16:AH16"/>
    <mergeCell ref="A1:C2"/>
    <mergeCell ref="A5:A16"/>
    <mergeCell ref="B5:B11"/>
    <mergeCell ref="B12:B15"/>
    <mergeCell ref="B16:C16"/>
    <mergeCell ref="D16:F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55" t="s">
        <v>16</v>
      </c>
      <c r="E1" s="36" t="s">
        <v>15</v>
      </c>
      <c r="F1" s="37" t="s">
        <v>14</v>
      </c>
      <c r="G1" s="36" t="s">
        <v>13</v>
      </c>
      <c r="H1" s="36" t="s">
        <v>12</v>
      </c>
      <c r="I1" s="36" t="s">
        <v>11</v>
      </c>
      <c r="J1" s="37" t="s">
        <v>10</v>
      </c>
      <c r="K1" s="55" t="s">
        <v>16</v>
      </c>
      <c r="L1" s="36" t="s">
        <v>15</v>
      </c>
      <c r="M1" s="37" t="s">
        <v>14</v>
      </c>
      <c r="N1" s="36" t="s">
        <v>13</v>
      </c>
      <c r="O1" s="36" t="s">
        <v>12</v>
      </c>
      <c r="P1" s="36" t="s">
        <v>11</v>
      </c>
      <c r="Q1" s="37" t="s">
        <v>10</v>
      </c>
      <c r="R1" s="55" t="s">
        <v>16</v>
      </c>
      <c r="S1" s="36" t="s">
        <v>15</v>
      </c>
      <c r="T1" s="37" t="s">
        <v>14</v>
      </c>
      <c r="U1" s="36" t="s">
        <v>13</v>
      </c>
      <c r="V1" s="36" t="s">
        <v>12</v>
      </c>
      <c r="W1" s="36" t="s">
        <v>11</v>
      </c>
      <c r="X1" s="37" t="s">
        <v>10</v>
      </c>
      <c r="Y1" s="55" t="s">
        <v>16</v>
      </c>
      <c r="Z1" s="36" t="s">
        <v>15</v>
      </c>
      <c r="AA1" s="37" t="s">
        <v>14</v>
      </c>
      <c r="AB1" s="36" t="s">
        <v>13</v>
      </c>
      <c r="AC1" s="36" t="s">
        <v>12</v>
      </c>
      <c r="AD1" s="36" t="s">
        <v>11</v>
      </c>
      <c r="AE1" s="37" t="s">
        <v>10</v>
      </c>
      <c r="AF1" s="55" t="s">
        <v>16</v>
      </c>
      <c r="AG1" s="36"/>
      <c r="AH1" s="37"/>
      <c r="AI1" s="94" t="s">
        <v>22</v>
      </c>
      <c r="AJ1" s="96" t="s">
        <v>17</v>
      </c>
      <c r="AK1" s="98" t="s">
        <v>18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/>
      <c r="J3" s="16"/>
      <c r="K3" s="15">
        <v>367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>
        <v>493</v>
      </c>
      <c r="W3" s="15"/>
      <c r="X3" s="15"/>
      <c r="Y3" s="15"/>
      <c r="Z3" s="15"/>
      <c r="AA3" s="15"/>
      <c r="AB3" s="15"/>
      <c r="AC3" s="14">
        <v>515</v>
      </c>
      <c r="AD3" s="15"/>
      <c r="AE3" s="17"/>
      <c r="AF3" s="15"/>
      <c r="AG3" s="17"/>
      <c r="AH3" s="15"/>
      <c r="AI3" s="104">
        <f>(AJ3+AJ4)/31</f>
        <v>67.032258064516128</v>
      </c>
      <c r="AJ3" s="48">
        <f>SUM(D3:AH3)</f>
        <v>1375</v>
      </c>
      <c r="AK3" s="106">
        <v>100</v>
      </c>
    </row>
    <row r="4" spans="1:37" ht="18.95" customHeight="1" x14ac:dyDescent="0.3">
      <c r="A4" s="102"/>
      <c r="B4" s="103"/>
      <c r="C4" s="58" t="s">
        <v>24</v>
      </c>
      <c r="D4" s="18"/>
      <c r="E4" s="18"/>
      <c r="F4" s="18"/>
      <c r="G4" s="18"/>
      <c r="H4" s="18"/>
      <c r="I4" s="18">
        <v>13</v>
      </c>
      <c r="J4" s="19"/>
      <c r="K4" s="18"/>
      <c r="L4" s="18"/>
      <c r="M4" s="18"/>
      <c r="N4" s="18"/>
      <c r="O4" s="18"/>
      <c r="P4" s="18">
        <v>23</v>
      </c>
      <c r="Q4" s="18">
        <v>38</v>
      </c>
      <c r="R4" s="18"/>
      <c r="S4" s="18"/>
      <c r="T4" s="18"/>
      <c r="U4" s="18"/>
      <c r="V4" s="18"/>
      <c r="W4" s="18">
        <v>11</v>
      </c>
      <c r="X4" s="18"/>
      <c r="Y4" s="18"/>
      <c r="Z4" s="18"/>
      <c r="AA4" s="18"/>
      <c r="AB4" s="18"/>
      <c r="AC4" s="20"/>
      <c r="AD4" s="18"/>
      <c r="AE4" s="19">
        <v>618</v>
      </c>
      <c r="AF4" s="18"/>
      <c r="AG4" s="19"/>
      <c r="AH4" s="18"/>
      <c r="AI4" s="105"/>
      <c r="AJ4" s="48">
        <f>SUM(D4:AH4)</f>
        <v>703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23</v>
      </c>
      <c r="D5" s="21">
        <v>40</v>
      </c>
      <c r="E5" s="2"/>
      <c r="F5" s="2"/>
      <c r="G5" s="2"/>
      <c r="H5" s="2"/>
      <c r="I5" s="2"/>
      <c r="J5" s="22">
        <v>4</v>
      </c>
      <c r="K5" s="2"/>
      <c r="L5" s="2">
        <v>9</v>
      </c>
      <c r="M5" s="2">
        <v>2</v>
      </c>
      <c r="N5" s="2"/>
      <c r="O5" s="2"/>
      <c r="P5" s="2"/>
      <c r="Q5" s="2"/>
      <c r="R5" s="2">
        <v>13</v>
      </c>
      <c r="S5" s="2"/>
      <c r="T5" s="2"/>
      <c r="U5" s="2"/>
      <c r="V5" s="2"/>
      <c r="W5" s="2"/>
      <c r="X5" s="2"/>
      <c r="Y5" s="2"/>
      <c r="Z5" s="2"/>
      <c r="AA5" s="2"/>
      <c r="AB5" s="2"/>
      <c r="AC5" s="21"/>
      <c r="AD5" s="2"/>
      <c r="AE5" s="23"/>
      <c r="AF5" s="2">
        <v>6</v>
      </c>
      <c r="AG5" s="23"/>
      <c r="AH5" s="2"/>
      <c r="AI5" s="43">
        <f t="shared" ref="AI5:AI15" si="0">AJ5/31</f>
        <v>2.3870967741935485</v>
      </c>
      <c r="AJ5" s="32">
        <f>SUM(D5,E5,F5,G5,H5,I5,J5,K5,L5,M5,N5,O5,P5,Q5,R5,S5,T5,U5,V5,W5,X5,Y5,Z5,AA5,AB5,AC5,AD5,AE5,AF5,AG5,AH5)</f>
        <v>74</v>
      </c>
      <c r="AK5" s="3">
        <f>(AJ5/(AJ3+AJ4))*100</f>
        <v>3.5611164581328203</v>
      </c>
    </row>
    <row r="6" spans="1:37" ht="18.95" customHeight="1" x14ac:dyDescent="0.3">
      <c r="A6" s="88"/>
      <c r="B6" s="90"/>
      <c r="C6" s="60" t="s">
        <v>6</v>
      </c>
      <c r="D6" s="4">
        <v>14</v>
      </c>
      <c r="E6" s="4">
        <v>14</v>
      </c>
      <c r="F6" s="4"/>
      <c r="G6" s="4">
        <v>32</v>
      </c>
      <c r="H6" s="4"/>
      <c r="I6" s="4"/>
      <c r="J6" s="24">
        <v>25</v>
      </c>
      <c r="K6" s="4"/>
      <c r="L6" s="4">
        <v>8</v>
      </c>
      <c r="M6" s="4">
        <v>5</v>
      </c>
      <c r="N6" s="4">
        <v>5</v>
      </c>
      <c r="O6" s="4">
        <v>26</v>
      </c>
      <c r="P6" s="4"/>
      <c r="Q6" s="4">
        <v>25</v>
      </c>
      <c r="R6" s="4">
        <v>2</v>
      </c>
      <c r="S6" s="4">
        <v>5</v>
      </c>
      <c r="T6" s="4"/>
      <c r="U6" s="4">
        <v>5</v>
      </c>
      <c r="V6" s="4">
        <v>30</v>
      </c>
      <c r="W6" s="4"/>
      <c r="X6" s="4"/>
      <c r="Y6" s="4">
        <v>25</v>
      </c>
      <c r="Z6" s="4">
        <v>10</v>
      </c>
      <c r="AA6" s="4">
        <v>5</v>
      </c>
      <c r="AB6" s="4"/>
      <c r="AC6" s="25">
        <v>27</v>
      </c>
      <c r="AD6" s="4"/>
      <c r="AE6" s="24"/>
      <c r="AF6" s="4">
        <v>19</v>
      </c>
      <c r="AG6" s="24"/>
      <c r="AH6" s="4"/>
      <c r="AI6" s="44">
        <f t="shared" si="0"/>
        <v>9.0967741935483879</v>
      </c>
      <c r="AJ6" s="33">
        <f>SUM(D6,E6,F6,G6,H6,I6,J6,K6,L6,M6,N6,O6,P6,Q6,R6,S6,T6,U6,V6,W6,X6,Y6,Z6,AA6,AB6,AC6,AD6,AE6,AF6,AG6,AH6)</f>
        <v>282</v>
      </c>
      <c r="AK6" s="5">
        <f>(AJ6/(AJ3+AJ4))*100</f>
        <v>13.570741097208854</v>
      </c>
    </row>
    <row r="7" spans="1:37" ht="18.95" customHeight="1" x14ac:dyDescent="0.3">
      <c r="A7" s="88"/>
      <c r="B7" s="90"/>
      <c r="C7" s="60" t="s">
        <v>20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8"/>
      <c r="B8" s="90"/>
      <c r="C8" s="61" t="s">
        <v>21</v>
      </c>
      <c r="D8" s="38">
        <v>45</v>
      </c>
      <c r="E8" s="39"/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/>
      <c r="U8" s="39">
        <v>53</v>
      </c>
      <c r="V8" s="39"/>
      <c r="W8" s="39"/>
      <c r="X8" s="39"/>
      <c r="Y8" s="39"/>
      <c r="Z8" s="39">
        <v>12</v>
      </c>
      <c r="AA8" s="39"/>
      <c r="AB8" s="39"/>
      <c r="AC8" s="38"/>
      <c r="AD8" s="39"/>
      <c r="AE8" s="40"/>
      <c r="AF8" s="39"/>
      <c r="AG8" s="40"/>
      <c r="AH8" s="39"/>
      <c r="AI8" s="47">
        <f t="shared" si="0"/>
        <v>3.5483870967741935</v>
      </c>
      <c r="AJ8" s="41">
        <f>SUM(D8,E8,F8,G8,H8,I8,J8,K8,L8,M8,N8,O8,P8,Q8,R8,S8,T8,U8,V8,W8,X8,Y8,Z8,AA8,AB8,AC8,AD8,AE8,AF8,AG8,AH8)</f>
        <v>110</v>
      </c>
      <c r="AK8" s="42">
        <f>(AJ8/(AJ3+AJ4))*100</f>
        <v>5.2935514918190565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>
        <v>69</v>
      </c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>
        <v>108</v>
      </c>
      <c r="AG9" s="23"/>
      <c r="AH9" s="2"/>
      <c r="AI9" s="43">
        <f t="shared" si="0"/>
        <v>5.709677419354839</v>
      </c>
      <c r="AJ9" s="32">
        <f>SUM(D9,E9,F9,G9,H9,I9,J9,K9,L9,M9,N9,O9,P9,Q9,R9,S9,T9,U9,V9,W9,X9,Y9,Z9,AA9,AB9,AC9,AD9,AE9,AF9,AG9,AH9)</f>
        <v>177</v>
      </c>
      <c r="AK9" s="3">
        <f>(AJ9/(AJ3+AJ4))*100</f>
        <v>8.5178055822906629</v>
      </c>
    </row>
    <row r="10" spans="1:37" ht="18.95" customHeight="1" x14ac:dyDescent="0.3">
      <c r="A10" s="88"/>
      <c r="B10" s="90"/>
      <c r="C10" s="60" t="s">
        <v>29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7</v>
      </c>
      <c r="D11" s="21"/>
      <c r="E11" s="2"/>
      <c r="F11" s="2"/>
      <c r="G11" s="2"/>
      <c r="H11" s="2"/>
      <c r="I11" s="2"/>
      <c r="J11" s="22"/>
      <c r="K11" s="2"/>
      <c r="L11" s="2">
        <v>25</v>
      </c>
      <c r="M11" s="2"/>
      <c r="N11" s="2"/>
      <c r="O11" s="2"/>
      <c r="P11" s="2"/>
      <c r="Q11" s="2"/>
      <c r="R11" s="2"/>
      <c r="S11" s="2">
        <v>296</v>
      </c>
      <c r="T11" s="2"/>
      <c r="U11" s="2"/>
      <c r="V11" s="2">
        <v>26</v>
      </c>
      <c r="W11" s="2"/>
      <c r="X11" s="2">
        <v>50</v>
      </c>
      <c r="Y11" s="2"/>
      <c r="Z11" s="2"/>
      <c r="AA11" s="2"/>
      <c r="AB11" s="2"/>
      <c r="AC11" s="21"/>
      <c r="AD11" s="2"/>
      <c r="AE11" s="23">
        <v>91</v>
      </c>
      <c r="AF11" s="2"/>
      <c r="AG11" s="23"/>
      <c r="AH11" s="2"/>
      <c r="AI11" s="43">
        <f t="shared" si="0"/>
        <v>15.741935483870968</v>
      </c>
      <c r="AJ11" s="32">
        <f>SUM(D11,E11,F11,G11,H11,I11,J11,K11,L11,M11,N11,O11,P11,Q11,R11,S11,T11,U11,V11,W11,X11,Y11,Z11,AA11,AB11,AC11,AD11,AE11,AF11,AG11,AH11)</f>
        <v>488</v>
      </c>
      <c r="AK11" s="3">
        <f>(AJ11/(AJ3+AJ4))*100</f>
        <v>23.484119345524544</v>
      </c>
    </row>
    <row r="12" spans="1:37" ht="18.95" customHeight="1" x14ac:dyDescent="0.3">
      <c r="A12" s="88"/>
      <c r="B12" s="91" t="s">
        <v>4</v>
      </c>
      <c r="C12" s="62" t="s">
        <v>8</v>
      </c>
      <c r="D12" s="6"/>
      <c r="E12" s="6"/>
      <c r="F12" s="6"/>
      <c r="G12" s="6">
        <v>62</v>
      </c>
      <c r="H12" s="6">
        <v>8</v>
      </c>
      <c r="I12" s="6">
        <v>39</v>
      </c>
      <c r="J12" s="26"/>
      <c r="K12" s="6"/>
      <c r="L12" s="6"/>
      <c r="M12" s="6"/>
      <c r="N12" s="6">
        <v>30</v>
      </c>
      <c r="O12" s="6">
        <v>60</v>
      </c>
      <c r="P12" s="6">
        <v>43</v>
      </c>
      <c r="Q12" s="6"/>
      <c r="R12" s="6"/>
      <c r="S12" s="6"/>
      <c r="T12" s="6"/>
      <c r="U12" s="6"/>
      <c r="V12" s="6"/>
      <c r="W12" s="6">
        <v>42</v>
      </c>
      <c r="X12" s="6">
        <v>19</v>
      </c>
      <c r="Y12" s="6"/>
      <c r="Z12" s="6"/>
      <c r="AA12" s="6"/>
      <c r="AB12" s="6"/>
      <c r="AC12" s="27"/>
      <c r="AD12" s="6">
        <v>19</v>
      </c>
      <c r="AE12" s="26"/>
      <c r="AF12" s="6"/>
      <c r="AG12" s="26"/>
      <c r="AH12" s="6"/>
      <c r="AI12" s="45">
        <f t="shared" si="0"/>
        <v>10.387096774193548</v>
      </c>
      <c r="AJ12" s="34">
        <f>SUM(D12,E12,F12,G12,H12,I12,J12,K12,L12,M12,N12,O12,P12,Q12,R12,S12,T12,U12,V12,W12,X12,Y12,Z12,AA12,AB12,AC12,AD12,AE12,AF12,AG12,AH12)</f>
        <v>322</v>
      </c>
      <c r="AK12" s="7">
        <f>(AJ12/(AJ3+AJ4))*100</f>
        <v>15.495668912415784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>
        <v>13</v>
      </c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>
        <v>10</v>
      </c>
      <c r="AE13" s="30"/>
      <c r="AF13" s="8"/>
      <c r="AG13" s="30"/>
      <c r="AH13" s="8"/>
      <c r="AI13" s="46">
        <f t="shared" si="0"/>
        <v>0.74193548387096775</v>
      </c>
      <c r="AJ13" s="35">
        <f t="shared" si="1"/>
        <v>23</v>
      </c>
      <c r="AK13" s="9">
        <f>(AJ13/(AJ3+AJ4))*100</f>
        <v>1.1068334937439845</v>
      </c>
    </row>
    <row r="14" spans="1:37" ht="18.95" customHeight="1" x14ac:dyDescent="0.3">
      <c r="A14" s="88"/>
      <c r="B14" s="92"/>
      <c r="C14" s="56" t="s">
        <v>27</v>
      </c>
      <c r="D14" s="6"/>
      <c r="E14" s="6"/>
      <c r="F14" s="6"/>
      <c r="G14" s="6"/>
      <c r="H14" s="6">
        <v>133</v>
      </c>
      <c r="I14" s="6"/>
      <c r="J14" s="2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>
        <v>104</v>
      </c>
      <c r="AA14" s="6">
        <v>19</v>
      </c>
      <c r="AB14" s="6"/>
      <c r="AC14" s="27"/>
      <c r="AD14" s="6"/>
      <c r="AE14" s="26"/>
      <c r="AF14" s="6"/>
      <c r="AG14" s="26"/>
      <c r="AH14" s="6"/>
      <c r="AI14" s="45">
        <f t="shared" si="0"/>
        <v>8.258064516129032</v>
      </c>
      <c r="AJ14" s="34">
        <f t="shared" si="1"/>
        <v>256</v>
      </c>
      <c r="AK14" s="7">
        <f>(AJ14/(AJ3+AJ4))*100</f>
        <v>12.319538017324351</v>
      </c>
    </row>
    <row r="15" spans="1:37" ht="18.95" customHeight="1" x14ac:dyDescent="0.3">
      <c r="A15" s="88"/>
      <c r="B15" s="93"/>
      <c r="C15" s="68" t="s">
        <v>4</v>
      </c>
      <c r="D15" s="51"/>
      <c r="E15" s="51"/>
      <c r="F15" s="51"/>
      <c r="G15" s="51">
        <v>19</v>
      </c>
      <c r="H15" s="51">
        <v>76</v>
      </c>
      <c r="I15" s="51">
        <v>95</v>
      </c>
      <c r="J15" s="50"/>
      <c r="K15" s="51"/>
      <c r="L15" s="51"/>
      <c r="M15" s="51"/>
      <c r="N15" s="51">
        <v>95</v>
      </c>
      <c r="O15" s="51">
        <v>133</v>
      </c>
      <c r="P15" s="51"/>
      <c r="Q15" s="51"/>
      <c r="R15" s="51"/>
      <c r="S15" s="51"/>
      <c r="T15" s="51"/>
      <c r="U15" s="51">
        <v>38</v>
      </c>
      <c r="V15" s="51"/>
      <c r="W15" s="51"/>
      <c r="X15" s="51"/>
      <c r="Y15" s="51"/>
      <c r="Z15" s="51"/>
      <c r="AA15" s="51"/>
      <c r="AB15" s="51"/>
      <c r="AC15" s="52"/>
      <c r="AD15" s="51">
        <v>19</v>
      </c>
      <c r="AE15" s="50"/>
      <c r="AF15" s="51"/>
      <c r="AG15" s="50"/>
      <c r="AH15" s="51"/>
      <c r="AI15" s="45">
        <f t="shared" si="0"/>
        <v>15.32258064516129</v>
      </c>
      <c r="AJ15" s="34">
        <f>SUM(D15,E15,F15,G15,H15,I15,J15,K15,L15,M15,N15,O15,P15,Q15,R15,S15,T15,U15,V15,W15,X15,Y15,Z15,AA15,AB15,AC15,AD15,AE15,AF15,AG15,AH15)</f>
        <v>475</v>
      </c>
      <c r="AK15" s="7">
        <f>(AJ15/(AJ3+AJ4))*100</f>
        <v>22.858517805582292</v>
      </c>
    </row>
    <row r="16" spans="1:37" ht="18.399999999999999" customHeight="1" x14ac:dyDescent="0.3">
      <c r="A16" s="89"/>
      <c r="B16" s="80" t="s">
        <v>9</v>
      </c>
      <c r="C16" s="81"/>
      <c r="D16" s="80">
        <f>SUM(D5:J15)</f>
        <v>619</v>
      </c>
      <c r="E16" s="81"/>
      <c r="F16" s="81"/>
      <c r="G16" s="81"/>
      <c r="H16" s="81"/>
      <c r="I16" s="81"/>
      <c r="J16" s="82"/>
      <c r="K16" s="80">
        <f>SUM(K5:Q15)</f>
        <v>466</v>
      </c>
      <c r="L16" s="81"/>
      <c r="M16" s="81"/>
      <c r="N16" s="81"/>
      <c r="O16" s="81"/>
      <c r="P16" s="81"/>
      <c r="Q16" s="82"/>
      <c r="R16" s="80">
        <f>SUM(R5:X15)</f>
        <v>648</v>
      </c>
      <c r="S16" s="81"/>
      <c r="T16" s="81"/>
      <c r="U16" s="81"/>
      <c r="V16" s="81"/>
      <c r="W16" s="81"/>
      <c r="X16" s="82"/>
      <c r="Y16" s="80">
        <f>SUM(Y5:AE15)</f>
        <v>341</v>
      </c>
      <c r="Z16" s="81"/>
      <c r="AA16" s="81"/>
      <c r="AB16" s="81"/>
      <c r="AC16" s="81"/>
      <c r="AD16" s="81"/>
      <c r="AE16" s="82"/>
      <c r="AF16" s="65"/>
      <c r="AG16" s="65"/>
      <c r="AH16" s="66"/>
      <c r="AI16" s="53">
        <f>AJ16/31</f>
        <v>71.193548387096769</v>
      </c>
      <c r="AJ16" s="49">
        <f>SUM(AJ5,AJ6,AJ7,AJ8,AJ9,AJ10,AJ11,AJ12,AJ13,AJ14,AJ15)</f>
        <v>2207</v>
      </c>
      <c r="AK16" s="10">
        <f>SUM(AK5,AK6,AK7,AK8,AK9,AK10,AK11,AK12,AK13,AK14,AK15)</f>
        <v>106.20789220404235</v>
      </c>
    </row>
    <row r="17" spans="1:37" ht="18" customHeight="1" x14ac:dyDescent="0.3">
      <c r="A17" s="114" t="s">
        <v>25</v>
      </c>
      <c r="B17" s="114"/>
      <c r="C17" s="115"/>
      <c r="D17" s="116">
        <v>6653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64"/>
    </row>
    <row r="18" spans="1:37" ht="18" customHeight="1" x14ac:dyDescent="0.3">
      <c r="A18" s="109" t="s">
        <v>19</v>
      </c>
      <c r="B18" s="109"/>
      <c r="C18" s="110"/>
      <c r="D18" s="120">
        <f>(AJ3+AJ4)-AJ16</f>
        <v>-129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-6.2078922040423485</v>
      </c>
    </row>
    <row r="19" spans="1:37" ht="18" customHeight="1" x14ac:dyDescent="0.3">
      <c r="A19" s="108" t="s">
        <v>26</v>
      </c>
      <c r="B19" s="109"/>
      <c r="C19" s="110"/>
      <c r="D19" s="111">
        <f>(AJ3+AJ4+D17)-AJ16</f>
        <v>6524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28</v>
      </c>
    </row>
  </sheetData>
  <mergeCells count="21">
    <mergeCell ref="K16:Q16"/>
    <mergeCell ref="R16:X16"/>
    <mergeCell ref="Y16:AE16"/>
    <mergeCell ref="A19:C19"/>
    <mergeCell ref="D19:AJ19"/>
    <mergeCell ref="A17:C17"/>
    <mergeCell ref="D17:AJ17"/>
    <mergeCell ref="A18:C18"/>
    <mergeCell ref="D18:AJ18"/>
    <mergeCell ref="A5:A16"/>
    <mergeCell ref="B5:B11"/>
    <mergeCell ref="B12:B15"/>
    <mergeCell ref="B16:C16"/>
    <mergeCell ref="D16:J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15</v>
      </c>
      <c r="E1" s="37" t="s">
        <v>14</v>
      </c>
      <c r="F1" s="36" t="s">
        <v>13</v>
      </c>
      <c r="G1" s="36" t="s">
        <v>12</v>
      </c>
      <c r="H1" s="36" t="s">
        <v>11</v>
      </c>
      <c r="I1" s="37" t="s">
        <v>10</v>
      </c>
      <c r="J1" s="55" t="s">
        <v>16</v>
      </c>
      <c r="K1" s="36" t="s">
        <v>15</v>
      </c>
      <c r="L1" s="37" t="s">
        <v>14</v>
      </c>
      <c r="M1" s="36" t="s">
        <v>13</v>
      </c>
      <c r="N1" s="36" t="s">
        <v>12</v>
      </c>
      <c r="O1" s="36" t="s">
        <v>11</v>
      </c>
      <c r="P1" s="37" t="s">
        <v>10</v>
      </c>
      <c r="Q1" s="55" t="s">
        <v>16</v>
      </c>
      <c r="R1" s="36" t="s">
        <v>15</v>
      </c>
      <c r="S1" s="37" t="s">
        <v>14</v>
      </c>
      <c r="T1" s="36" t="s">
        <v>13</v>
      </c>
      <c r="U1" s="36" t="s">
        <v>12</v>
      </c>
      <c r="V1" s="36" t="s">
        <v>11</v>
      </c>
      <c r="W1" s="37" t="s">
        <v>10</v>
      </c>
      <c r="X1" s="55" t="s">
        <v>16</v>
      </c>
      <c r="Y1" s="36" t="s">
        <v>15</v>
      </c>
      <c r="Z1" s="37" t="s">
        <v>14</v>
      </c>
      <c r="AA1" s="36" t="s">
        <v>13</v>
      </c>
      <c r="AB1" s="36" t="s">
        <v>12</v>
      </c>
      <c r="AC1" s="36" t="s">
        <v>11</v>
      </c>
      <c r="AD1" s="37" t="s">
        <v>10</v>
      </c>
      <c r="AE1" s="55" t="s">
        <v>16</v>
      </c>
      <c r="AF1" s="36" t="s">
        <v>15</v>
      </c>
      <c r="AG1" s="37" t="s">
        <v>14</v>
      </c>
      <c r="AH1" s="36" t="s">
        <v>13</v>
      </c>
      <c r="AI1" s="94" t="s">
        <v>22</v>
      </c>
      <c r="AJ1" s="96" t="s">
        <v>17</v>
      </c>
      <c r="AK1" s="98" t="s">
        <v>18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/>
      <c r="J3" s="16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4">
        <f>(AJ3+AJ4)/31</f>
        <v>1.6129032258064515</v>
      </c>
      <c r="AJ3" s="48">
        <f>SUM(D3:AH3)</f>
        <v>0</v>
      </c>
      <c r="AK3" s="106">
        <v>100</v>
      </c>
    </row>
    <row r="4" spans="1:37" ht="18.95" customHeight="1" x14ac:dyDescent="0.3">
      <c r="A4" s="102"/>
      <c r="B4" s="103"/>
      <c r="C4" s="58" t="s">
        <v>24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>
        <v>7</v>
      </c>
      <c r="O4" s="18"/>
      <c r="P4" s="18"/>
      <c r="Q4" s="18"/>
      <c r="R4" s="18"/>
      <c r="S4" s="18"/>
      <c r="T4" s="18"/>
      <c r="U4" s="18"/>
      <c r="V4" s="18"/>
      <c r="W4" s="18">
        <v>43</v>
      </c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105"/>
      <c r="AJ4" s="48">
        <f>SUM(D4:AH4)</f>
        <v>50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23</v>
      </c>
      <c r="D5" s="21"/>
      <c r="E5" s="2">
        <v>50</v>
      </c>
      <c r="F5" s="2"/>
      <c r="G5" s="2">
        <v>7</v>
      </c>
      <c r="H5" s="2">
        <v>10</v>
      </c>
      <c r="I5" s="2">
        <v>7</v>
      </c>
      <c r="J5" s="22"/>
      <c r="K5" s="2"/>
      <c r="L5" s="2"/>
      <c r="M5" s="2">
        <v>4</v>
      </c>
      <c r="N5" s="2"/>
      <c r="O5" s="2"/>
      <c r="P5" s="2"/>
      <c r="Q5" s="2">
        <v>3</v>
      </c>
      <c r="R5" s="2"/>
      <c r="S5" s="2"/>
      <c r="T5" s="2"/>
      <c r="U5" s="2"/>
      <c r="V5" s="2"/>
      <c r="W5" s="2">
        <v>12</v>
      </c>
      <c r="X5" s="2"/>
      <c r="Y5" s="2">
        <v>7</v>
      </c>
      <c r="Z5" s="2">
        <v>60</v>
      </c>
      <c r="AA5" s="2"/>
      <c r="AB5" s="2"/>
      <c r="AC5" s="21"/>
      <c r="AD5" s="2"/>
      <c r="AE5" s="23"/>
      <c r="AF5" s="2">
        <v>6</v>
      </c>
      <c r="AG5" s="23"/>
      <c r="AH5" s="2"/>
      <c r="AI5" s="43">
        <f t="shared" ref="AI5:AI15" si="0">AJ5/31</f>
        <v>5.354838709677419</v>
      </c>
      <c r="AJ5" s="32">
        <f>SUM(D5,E5,F5,G5,H5,I5,J5,K5,L5,M5,N5,O5,P5,Q5,R5,S5,T5,U5,V5,W5,X5,Y5,Z5,AA5,AB5,AC5,AD5,AE5,AF5,AG5,AH5)</f>
        <v>166</v>
      </c>
      <c r="AK5" s="3">
        <f>(AJ5/(AJ3+AJ4))*100</f>
        <v>332</v>
      </c>
    </row>
    <row r="6" spans="1:37" ht="18.95" customHeight="1" x14ac:dyDescent="0.3">
      <c r="A6" s="88"/>
      <c r="B6" s="90"/>
      <c r="C6" s="60" t="s">
        <v>6</v>
      </c>
      <c r="D6" s="4">
        <v>24</v>
      </c>
      <c r="E6" s="4">
        <v>5</v>
      </c>
      <c r="F6" s="4"/>
      <c r="G6" s="4">
        <v>25</v>
      </c>
      <c r="H6" s="4"/>
      <c r="I6" s="4"/>
      <c r="J6" s="24">
        <v>24</v>
      </c>
      <c r="K6" s="4">
        <v>4</v>
      </c>
      <c r="L6" s="4">
        <v>5</v>
      </c>
      <c r="M6" s="4">
        <v>13</v>
      </c>
      <c r="N6" s="4">
        <v>21</v>
      </c>
      <c r="O6" s="4"/>
      <c r="P6" s="4">
        <v>24</v>
      </c>
      <c r="Q6" s="4">
        <v>5</v>
      </c>
      <c r="R6" s="4">
        <v>4</v>
      </c>
      <c r="S6" s="4">
        <v>5</v>
      </c>
      <c r="T6" s="4">
        <v>24</v>
      </c>
      <c r="U6" s="4"/>
      <c r="V6" s="4"/>
      <c r="W6" s="4">
        <v>26</v>
      </c>
      <c r="X6" s="4">
        <v>18</v>
      </c>
      <c r="Y6" s="4">
        <v>4</v>
      </c>
      <c r="Z6" s="4">
        <v>10</v>
      </c>
      <c r="AA6" s="4">
        <v>27</v>
      </c>
      <c r="AB6" s="4"/>
      <c r="AC6" s="25"/>
      <c r="AD6" s="4">
        <v>24</v>
      </c>
      <c r="AE6" s="24">
        <v>5</v>
      </c>
      <c r="AF6" s="4">
        <v>4</v>
      </c>
      <c r="AG6" s="24">
        <v>9</v>
      </c>
      <c r="AH6" s="4"/>
      <c r="AI6" s="44">
        <f t="shared" si="0"/>
        <v>10</v>
      </c>
      <c r="AJ6" s="33">
        <f>SUM(D6,E6,F6,G6,H6,I6,J6,K6,L6,M6,N6,O6,P6,Q6,R6,S6,T6,U6,V6,W6,X6,Y6,Z6,AA6,AB6,AC6,AD6,AE6,AF6,AG6,AH6)</f>
        <v>310</v>
      </c>
      <c r="AK6" s="5">
        <f>(AJ6/(AJ3+AJ4))*100</f>
        <v>620</v>
      </c>
    </row>
    <row r="7" spans="1:37" ht="18.95" customHeight="1" x14ac:dyDescent="0.3">
      <c r="A7" s="88"/>
      <c r="B7" s="90"/>
      <c r="C7" s="60" t="s">
        <v>20</v>
      </c>
      <c r="D7" s="25"/>
      <c r="E7" s="4"/>
      <c r="F7" s="4"/>
      <c r="G7" s="4"/>
      <c r="H7" s="4"/>
      <c r="I7" s="4"/>
      <c r="J7" s="24"/>
      <c r="K7" s="4"/>
      <c r="L7" s="4">
        <v>10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0.32258064516129031</v>
      </c>
      <c r="AJ7" s="33">
        <f>SUM(D7,E7,F7,G7,H7,I7,J7,K7,L7,M7,N7,O7,P7,Q7,R7,S7,T7,U7,V7,W7,X7,Y7,Z7,AA7,AB7,AC7,AD7,AE7,AF7,AG7,AH7)</f>
        <v>10</v>
      </c>
      <c r="AK7" s="5">
        <f>(AJ7/(AJ3+AJ4))*100</f>
        <v>20</v>
      </c>
    </row>
    <row r="8" spans="1:37" ht="18.95" customHeight="1" x14ac:dyDescent="0.3">
      <c r="A8" s="88"/>
      <c r="B8" s="90"/>
      <c r="C8" s="61" t="s">
        <v>21</v>
      </c>
      <c r="D8" s="38">
        <v>22</v>
      </c>
      <c r="E8" s="39"/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8"/>
      <c r="AD8" s="39"/>
      <c r="AE8" s="40"/>
      <c r="AF8" s="39"/>
      <c r="AG8" s="40"/>
      <c r="AH8" s="39"/>
      <c r="AI8" s="47">
        <f t="shared" si="0"/>
        <v>0.70967741935483875</v>
      </c>
      <c r="AJ8" s="41">
        <f>SUM(D8,E8,F8,G8,H8,I8,J8,K8,L8,M8,N8,O8,P8,Q8,R8,S8,T8,U8,V8,W8,X8,Y8,Z8,AA8,AB8,AC8,AD8,AE8,AF8,AG8,AH8)</f>
        <v>22</v>
      </c>
      <c r="AK8" s="42">
        <f>(AJ8/(AJ3+AJ4))*100</f>
        <v>44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>
        <v>433</v>
      </c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>
        <v>108</v>
      </c>
      <c r="AF9" s="2"/>
      <c r="AG9" s="23"/>
      <c r="AH9" s="2"/>
      <c r="AI9" s="43">
        <f t="shared" si="0"/>
        <v>17.451612903225808</v>
      </c>
      <c r="AJ9" s="32">
        <f>SUM(D9,E9,F9,G9,H9,I9,J9,K9,L9,M9,N9,O9,P9,Q9,R9,S9,T9,U9,V9,W9,X9,Y9,Z9,AA9,AB9,AC9,AD9,AE9,AF9,AG9,AH9)</f>
        <v>541</v>
      </c>
      <c r="AK9" s="3">
        <f>(AJ9/(AJ3+AJ4))*100</f>
        <v>1082</v>
      </c>
    </row>
    <row r="10" spans="1:37" ht="18.95" customHeight="1" x14ac:dyDescent="0.3">
      <c r="A10" s="88"/>
      <c r="B10" s="90"/>
      <c r="C10" s="60" t="s">
        <v>29</v>
      </c>
      <c r="D10" s="4"/>
      <c r="E10" s="4"/>
      <c r="F10" s="4"/>
      <c r="G10" s="4">
        <v>2826</v>
      </c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91.161290322580641</v>
      </c>
      <c r="AJ10" s="33">
        <f t="shared" ref="AJ10:AJ14" si="1">SUM(D10,E10,F10,G10,H10,I10,J10,K10,L10,M10,N10,O10,P10,Q10,R10,S10,T10,U10,V10,W10,X10,Y10,Z10,AA10,AB10,AC10,AD10,AE10,AF10,AG10,AH10)</f>
        <v>2826</v>
      </c>
      <c r="AK10" s="5">
        <f>(AJ10/(AJ3+AJ4))*100</f>
        <v>5652</v>
      </c>
    </row>
    <row r="11" spans="1:37" ht="18.95" customHeight="1" x14ac:dyDescent="0.3">
      <c r="A11" s="88"/>
      <c r="B11" s="90"/>
      <c r="C11" s="60" t="s">
        <v>7</v>
      </c>
      <c r="D11" s="21"/>
      <c r="E11" s="2"/>
      <c r="F11" s="2"/>
      <c r="G11" s="2"/>
      <c r="H11" s="2"/>
      <c r="I11" s="2"/>
      <c r="J11" s="2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7</v>
      </c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0.22580645161290322</v>
      </c>
      <c r="AJ11" s="32">
        <f>SUM(D11,E11,F11,G11,H11,I11,J11,K11,L11,M11,N11,O11,P11,Q11,R11,S11,T11,U11,V11,W11,X11,Y11,Z11,AA11,AB11,AC11,AD11,AE11,AF11,AG11,AH11)</f>
        <v>7</v>
      </c>
      <c r="AK11" s="3">
        <f>(AJ11/(AJ3+AJ4))*100</f>
        <v>14.000000000000002</v>
      </c>
    </row>
    <row r="12" spans="1:37" ht="18.95" customHeight="1" x14ac:dyDescent="0.3">
      <c r="A12" s="88"/>
      <c r="B12" s="91" t="s">
        <v>4</v>
      </c>
      <c r="C12" s="62" t="s">
        <v>8</v>
      </c>
      <c r="D12" s="6"/>
      <c r="E12" s="6"/>
      <c r="F12" s="6"/>
      <c r="G12" s="6"/>
      <c r="H12" s="6"/>
      <c r="I12" s="6"/>
      <c r="J12" s="26"/>
      <c r="K12" s="6"/>
      <c r="L12" s="6"/>
      <c r="M12" s="6"/>
      <c r="N12" s="6">
        <v>15</v>
      </c>
      <c r="O12" s="6">
        <v>22</v>
      </c>
      <c r="P12" s="6"/>
      <c r="Q12" s="6"/>
      <c r="R12" s="6"/>
      <c r="S12" s="6"/>
      <c r="T12" s="6"/>
      <c r="U12" s="6"/>
      <c r="V12" s="6">
        <v>30</v>
      </c>
      <c r="W12" s="6"/>
      <c r="X12" s="6"/>
      <c r="Y12" s="6"/>
      <c r="Z12" s="6"/>
      <c r="AA12" s="6"/>
      <c r="AB12" s="6">
        <v>15</v>
      </c>
      <c r="AC12" s="27"/>
      <c r="AD12" s="6"/>
      <c r="AE12" s="26"/>
      <c r="AF12" s="6"/>
      <c r="AG12" s="26"/>
      <c r="AH12" s="6"/>
      <c r="AI12" s="45">
        <f t="shared" si="0"/>
        <v>2.6451612903225805</v>
      </c>
      <c r="AJ12" s="34">
        <f>SUM(D12,E12,F12,G12,H12,I12,J12,K12,L12,M12,N12,O12,P12,Q12,R12,S12,T12,U12,V12,W12,X12,Y12,Z12,AA12,AB12,AC12,AD12,AE12,AF12,AG12,AH12)</f>
        <v>82</v>
      </c>
      <c r="AK12" s="7">
        <f>(AJ12/(AJ3+AJ4))*100</f>
        <v>164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>
        <v>20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0.64516129032258063</v>
      </c>
      <c r="AJ13" s="35">
        <f t="shared" si="1"/>
        <v>20</v>
      </c>
      <c r="AK13" s="9">
        <f>(AJ13/(AJ3+AJ4))*100</f>
        <v>40</v>
      </c>
    </row>
    <row r="14" spans="1:37" ht="18.95" customHeight="1" x14ac:dyDescent="0.3">
      <c r="A14" s="88"/>
      <c r="B14" s="92"/>
      <c r="C14" s="56" t="s">
        <v>27</v>
      </c>
      <c r="D14" s="6"/>
      <c r="E14" s="6"/>
      <c r="F14" s="6"/>
      <c r="G14" s="6"/>
      <c r="H14" s="6"/>
      <c r="I14" s="6"/>
      <c r="J14" s="26">
        <v>242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238</v>
      </c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15.483870967741936</v>
      </c>
      <c r="AJ14" s="34">
        <f t="shared" si="1"/>
        <v>480</v>
      </c>
      <c r="AK14" s="7">
        <f>(AJ14/(AJ3+AJ4))*100</f>
        <v>960</v>
      </c>
    </row>
    <row r="15" spans="1:37" ht="18.95" customHeight="1" x14ac:dyDescent="0.3">
      <c r="A15" s="88"/>
      <c r="B15" s="92"/>
      <c r="C15" s="68" t="s">
        <v>4</v>
      </c>
      <c r="D15" s="51"/>
      <c r="E15" s="51"/>
      <c r="F15" s="51"/>
      <c r="G15" s="51">
        <v>18</v>
      </c>
      <c r="H15" s="51"/>
      <c r="I15" s="51"/>
      <c r="J15" s="50"/>
      <c r="K15" s="51"/>
      <c r="L15" s="51"/>
      <c r="M15" s="51"/>
      <c r="N15" s="51">
        <v>16</v>
      </c>
      <c r="O15" s="51"/>
      <c r="P15" s="51"/>
      <c r="Q15" s="51"/>
      <c r="R15" s="51"/>
      <c r="S15" s="51"/>
      <c r="T15" s="51"/>
      <c r="U15" s="51"/>
      <c r="V15" s="51">
        <v>31</v>
      </c>
      <c r="W15" s="51"/>
      <c r="X15" s="51"/>
      <c r="Y15" s="51"/>
      <c r="Z15" s="51"/>
      <c r="AA15" s="51"/>
      <c r="AB15" s="51">
        <v>35</v>
      </c>
      <c r="AC15" s="52"/>
      <c r="AD15" s="51"/>
      <c r="AE15" s="50"/>
      <c r="AF15" s="51"/>
      <c r="AG15" s="50"/>
      <c r="AH15" s="51"/>
      <c r="AI15" s="45">
        <f t="shared" si="0"/>
        <v>3.225806451612903</v>
      </c>
      <c r="AJ15" s="34">
        <f>SUM(D15,E15,F15,G15,H15,I15,J15,K15,L15,M15,N15,O15,P15,Q15,R15,S15,T15,U15,V15,W15,X15,Y15,Z15,AA15,AB15,AC15,AD15,AE15,AF15,AG15,AH15)</f>
        <v>100</v>
      </c>
      <c r="AK15" s="7">
        <f>(AJ15/(AJ3+AJ4))*100</f>
        <v>200</v>
      </c>
    </row>
    <row r="16" spans="1:37" ht="18.399999999999999" customHeight="1" x14ac:dyDescent="0.3">
      <c r="A16" s="89"/>
      <c r="B16" s="69" t="s">
        <v>9</v>
      </c>
      <c r="C16" s="65"/>
      <c r="D16" s="80">
        <f>SUM(D5:I15)</f>
        <v>3427</v>
      </c>
      <c r="E16" s="81"/>
      <c r="F16" s="81"/>
      <c r="G16" s="81"/>
      <c r="H16" s="81"/>
      <c r="I16" s="82"/>
      <c r="J16" s="80">
        <f>SUM(J5:P15)</f>
        <v>420</v>
      </c>
      <c r="K16" s="81"/>
      <c r="L16" s="81"/>
      <c r="M16" s="81"/>
      <c r="N16" s="81"/>
      <c r="O16" s="81"/>
      <c r="P16" s="82"/>
      <c r="Q16" s="80">
        <f>SUM(Q5:W15)</f>
        <v>378</v>
      </c>
      <c r="R16" s="81"/>
      <c r="S16" s="81"/>
      <c r="T16" s="81"/>
      <c r="U16" s="81"/>
      <c r="V16" s="81"/>
      <c r="W16" s="82"/>
      <c r="X16" s="80">
        <f>SUM(X5:AD15)</f>
        <v>207</v>
      </c>
      <c r="Y16" s="81"/>
      <c r="Z16" s="81"/>
      <c r="AA16" s="81"/>
      <c r="AB16" s="81"/>
      <c r="AC16" s="81"/>
      <c r="AD16" s="82"/>
      <c r="AE16" s="80">
        <f>SUM(AE5:AH15)</f>
        <v>132</v>
      </c>
      <c r="AF16" s="81"/>
      <c r="AG16" s="81"/>
      <c r="AH16" s="82"/>
      <c r="AI16" s="53">
        <f>AJ16/31</f>
        <v>147.2258064516129</v>
      </c>
      <c r="AJ16" s="49">
        <f>SUM(AJ5,AJ6,AJ7,AJ8,AJ9,AJ10,AJ11,AJ12,AJ13,AJ14,AJ15)</f>
        <v>4564</v>
      </c>
      <c r="AK16" s="10">
        <f>SUM(AK5,AK6,AK7,AK8,AK9,AK10,AK11,AK12,AK13,AK14,AK15)</f>
        <v>9128</v>
      </c>
    </row>
    <row r="17" spans="1:37" ht="18" customHeight="1" x14ac:dyDescent="0.3">
      <c r="A17" s="114" t="s">
        <v>25</v>
      </c>
      <c r="B17" s="121"/>
      <c r="C17" s="122"/>
      <c r="D17" s="116">
        <v>6524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67"/>
    </row>
    <row r="18" spans="1:37" ht="18" customHeight="1" x14ac:dyDescent="0.3">
      <c r="A18" s="109" t="s">
        <v>19</v>
      </c>
      <c r="B18" s="109"/>
      <c r="C18" s="110"/>
      <c r="D18" s="120">
        <f>(AJ3+AJ4)-AJ16</f>
        <v>-4514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-9028</v>
      </c>
    </row>
    <row r="19" spans="1:37" ht="18" customHeight="1" x14ac:dyDescent="0.3">
      <c r="A19" s="108" t="s">
        <v>26</v>
      </c>
      <c r="B19" s="109"/>
      <c r="C19" s="110"/>
      <c r="D19" s="111">
        <f>(AJ3+AJ4+D17)-AJ16</f>
        <v>2010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28</v>
      </c>
    </row>
  </sheetData>
  <mergeCells count="21">
    <mergeCell ref="A19:C19"/>
    <mergeCell ref="D19:AJ19"/>
    <mergeCell ref="A17:C17"/>
    <mergeCell ref="D17:AJ17"/>
    <mergeCell ref="A18:C18"/>
    <mergeCell ref="D18:AJ18"/>
    <mergeCell ref="AJ1:AJ2"/>
    <mergeCell ref="AK1:AK2"/>
    <mergeCell ref="A3:B4"/>
    <mergeCell ref="AI3:AI4"/>
    <mergeCell ref="AK3:AK4"/>
    <mergeCell ref="Q16:W16"/>
    <mergeCell ref="X16:AD16"/>
    <mergeCell ref="AE16:AH16"/>
    <mergeCell ref="A1:C2"/>
    <mergeCell ref="AI1:AI2"/>
    <mergeCell ref="A5:A16"/>
    <mergeCell ref="B5:B11"/>
    <mergeCell ref="B12:B15"/>
    <mergeCell ref="D16:I16"/>
    <mergeCell ref="J16:P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12</v>
      </c>
      <c r="E1" s="36" t="s">
        <v>11</v>
      </c>
      <c r="F1" s="37" t="s">
        <v>10</v>
      </c>
      <c r="G1" s="55" t="s">
        <v>16</v>
      </c>
      <c r="H1" s="36" t="s">
        <v>15</v>
      </c>
      <c r="I1" s="37" t="s">
        <v>14</v>
      </c>
      <c r="J1" s="36" t="s">
        <v>13</v>
      </c>
      <c r="K1" s="36" t="s">
        <v>12</v>
      </c>
      <c r="L1" s="36" t="s">
        <v>11</v>
      </c>
      <c r="M1" s="37" t="s">
        <v>10</v>
      </c>
      <c r="N1" s="55" t="s">
        <v>16</v>
      </c>
      <c r="O1" s="36" t="s">
        <v>15</v>
      </c>
      <c r="P1" s="37" t="s">
        <v>14</v>
      </c>
      <c r="Q1" s="36" t="s">
        <v>13</v>
      </c>
      <c r="R1" s="36" t="s">
        <v>12</v>
      </c>
      <c r="S1" s="36" t="s">
        <v>11</v>
      </c>
      <c r="T1" s="37" t="s">
        <v>10</v>
      </c>
      <c r="U1" s="55" t="s">
        <v>16</v>
      </c>
      <c r="V1" s="36" t="s">
        <v>15</v>
      </c>
      <c r="W1" s="37" t="s">
        <v>14</v>
      </c>
      <c r="X1" s="36" t="s">
        <v>13</v>
      </c>
      <c r="Y1" s="36" t="s">
        <v>12</v>
      </c>
      <c r="Z1" s="36" t="s">
        <v>11</v>
      </c>
      <c r="AA1" s="37" t="s">
        <v>10</v>
      </c>
      <c r="AB1" s="55" t="s">
        <v>16</v>
      </c>
      <c r="AC1" s="36" t="s">
        <v>15</v>
      </c>
      <c r="AD1" s="37" t="s">
        <v>14</v>
      </c>
      <c r="AE1" s="36" t="s">
        <v>13</v>
      </c>
      <c r="AF1" s="36" t="s">
        <v>12</v>
      </c>
      <c r="AG1" s="36" t="s">
        <v>11</v>
      </c>
      <c r="AH1" s="37"/>
      <c r="AI1" s="94" t="s">
        <v>22</v>
      </c>
      <c r="AJ1" s="96" t="s">
        <v>17</v>
      </c>
      <c r="AK1" s="98" t="s">
        <v>18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/>
      <c r="J3" s="16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4">
        <f>(AJ3+AJ4)/31</f>
        <v>19.35483870967742</v>
      </c>
      <c r="AJ3" s="48">
        <f>SUM(D3:AH3)</f>
        <v>0</v>
      </c>
      <c r="AK3" s="106">
        <v>100</v>
      </c>
    </row>
    <row r="4" spans="1:37" ht="18.95" customHeight="1" x14ac:dyDescent="0.3">
      <c r="A4" s="102"/>
      <c r="B4" s="103"/>
      <c r="C4" s="58" t="s">
        <v>24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>
        <v>370</v>
      </c>
      <c r="R4" s="18"/>
      <c r="S4" s="18"/>
      <c r="T4" s="18">
        <v>185</v>
      </c>
      <c r="U4" s="18"/>
      <c r="V4" s="18"/>
      <c r="W4" s="18">
        <v>19</v>
      </c>
      <c r="X4" s="18"/>
      <c r="Y4" s="18"/>
      <c r="Z4" s="18"/>
      <c r="AA4" s="18">
        <v>26</v>
      </c>
      <c r="AB4" s="18"/>
      <c r="AC4" s="20"/>
      <c r="AD4" s="18"/>
      <c r="AE4" s="19"/>
      <c r="AF4" s="18"/>
      <c r="AG4" s="19"/>
      <c r="AH4" s="18"/>
      <c r="AI4" s="105"/>
      <c r="AJ4" s="48">
        <f>SUM(D4:AH4)</f>
        <v>600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23</v>
      </c>
      <c r="D5" s="21"/>
      <c r="E5" s="2"/>
      <c r="F5" s="2"/>
      <c r="G5" s="2"/>
      <c r="H5" s="2">
        <v>13</v>
      </c>
      <c r="I5" s="2"/>
      <c r="J5" s="22"/>
      <c r="K5" s="2"/>
      <c r="L5" s="2"/>
      <c r="M5" s="2"/>
      <c r="N5" s="2">
        <v>20</v>
      </c>
      <c r="O5" s="2">
        <v>31</v>
      </c>
      <c r="P5" s="2">
        <v>6</v>
      </c>
      <c r="Q5" s="2"/>
      <c r="R5" s="2"/>
      <c r="S5" s="2"/>
      <c r="T5" s="2"/>
      <c r="U5" s="2">
        <v>50</v>
      </c>
      <c r="V5" s="2">
        <v>21</v>
      </c>
      <c r="W5" s="2"/>
      <c r="X5" s="2">
        <v>137</v>
      </c>
      <c r="Y5" s="2"/>
      <c r="Z5" s="2"/>
      <c r="AA5" s="2"/>
      <c r="AB5" s="2">
        <v>6</v>
      </c>
      <c r="AC5" s="21"/>
      <c r="AD5" s="2">
        <v>3</v>
      </c>
      <c r="AE5" s="23">
        <v>13</v>
      </c>
      <c r="AF5" s="2"/>
      <c r="AG5" s="23"/>
      <c r="AH5" s="2"/>
      <c r="AI5" s="43">
        <f t="shared" ref="AI5:AI15" si="0">AJ5/31</f>
        <v>9.67741935483871</v>
      </c>
      <c r="AJ5" s="32">
        <f>SUM(D5,E5,F5,G5,H5,I5,J5,K5,L5,M5,N5,O5,P5,Q5,R5,S5,T5,U5,V5,W5,X5,Y5,Z5,AA5,AB5,AC5,AD5,AE5,AF5,AG5,AH5)</f>
        <v>300</v>
      </c>
      <c r="AK5" s="3">
        <f>(AJ5/(AJ3+AJ4))*100</f>
        <v>50</v>
      </c>
    </row>
    <row r="6" spans="1:37" ht="18.95" customHeight="1" x14ac:dyDescent="0.3">
      <c r="A6" s="88"/>
      <c r="B6" s="90"/>
      <c r="C6" s="60" t="s">
        <v>6</v>
      </c>
      <c r="D6" s="4">
        <v>24</v>
      </c>
      <c r="E6" s="4"/>
      <c r="F6" s="4"/>
      <c r="G6" s="4">
        <v>32</v>
      </c>
      <c r="H6" s="4">
        <v>18</v>
      </c>
      <c r="I6" s="4">
        <v>5</v>
      </c>
      <c r="J6" s="24"/>
      <c r="K6" s="4">
        <v>27</v>
      </c>
      <c r="L6" s="4"/>
      <c r="M6" s="4">
        <v>27</v>
      </c>
      <c r="N6" s="4">
        <v>18</v>
      </c>
      <c r="O6" s="4">
        <v>8</v>
      </c>
      <c r="P6" s="4">
        <v>13</v>
      </c>
      <c r="Q6" s="4">
        <v>25</v>
      </c>
      <c r="R6" s="4">
        <v>27</v>
      </c>
      <c r="S6" s="4">
        <v>2</v>
      </c>
      <c r="T6" s="4">
        <v>3</v>
      </c>
      <c r="U6" s="4">
        <v>13</v>
      </c>
      <c r="V6" s="4">
        <v>18</v>
      </c>
      <c r="W6" s="4">
        <v>12</v>
      </c>
      <c r="X6" s="4"/>
      <c r="Y6" s="4">
        <v>7</v>
      </c>
      <c r="Z6" s="4">
        <v>19</v>
      </c>
      <c r="AA6" s="4">
        <v>24</v>
      </c>
      <c r="AB6" s="4">
        <v>5</v>
      </c>
      <c r="AC6" s="25">
        <v>23</v>
      </c>
      <c r="AD6" s="4">
        <v>11</v>
      </c>
      <c r="AE6" s="24">
        <v>5</v>
      </c>
      <c r="AF6" s="4">
        <v>30</v>
      </c>
      <c r="AG6" s="24"/>
      <c r="AH6" s="4"/>
      <c r="AI6" s="44">
        <f t="shared" si="0"/>
        <v>12.774193548387096</v>
      </c>
      <c r="AJ6" s="33">
        <f>SUM(D6,E6,F6,G6,H6,I6,J6,K6,L6,M6,N6,O6,P6,Q6,R6,S6,T6,U6,V6,W6,X6,Y6,Z6,AA6,AB6,AC6,AD6,AE6,AF6,AG6,AH6)</f>
        <v>396</v>
      </c>
      <c r="AK6" s="5">
        <f>(AJ6/(AJ3+AJ4))*100</f>
        <v>66</v>
      </c>
    </row>
    <row r="7" spans="1:37" ht="18.95" customHeight="1" x14ac:dyDescent="0.3">
      <c r="A7" s="88"/>
      <c r="B7" s="90"/>
      <c r="C7" s="60" t="s">
        <v>20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>
        <v>9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0.29032258064516131</v>
      </c>
      <c r="AJ7" s="33">
        <f>SUM(D7,E7,F7,G7,H7,I7,J7,K7,L7,M7,N7,O7,P7,Q7,R7,S7,T7,U7,V7,W7,X7,Y7,Z7,AA7,AB7,AC7,AD7,AE7,AF7,AG7,AH7)</f>
        <v>9</v>
      </c>
      <c r="AK7" s="5">
        <f>(AJ7/(AJ3+AJ4))*100</f>
        <v>1.5</v>
      </c>
    </row>
    <row r="8" spans="1:37" ht="18.95" customHeight="1" x14ac:dyDescent="0.3">
      <c r="A8" s="88"/>
      <c r="B8" s="90"/>
      <c r="C8" s="61" t="s">
        <v>21</v>
      </c>
      <c r="D8" s="38"/>
      <c r="E8" s="39"/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/>
      <c r="U8" s="39">
        <v>43</v>
      </c>
      <c r="V8" s="39"/>
      <c r="W8" s="39">
        <v>20</v>
      </c>
      <c r="X8" s="39"/>
      <c r="Y8" s="39"/>
      <c r="Z8" s="39"/>
      <c r="AA8" s="39"/>
      <c r="AB8" s="39"/>
      <c r="AC8" s="38"/>
      <c r="AD8" s="39">
        <v>3</v>
      </c>
      <c r="AE8" s="40">
        <v>14</v>
      </c>
      <c r="AF8" s="39">
        <v>9</v>
      </c>
      <c r="AG8" s="40"/>
      <c r="AH8" s="39"/>
      <c r="AI8" s="47">
        <f t="shared" si="0"/>
        <v>2.870967741935484</v>
      </c>
      <c r="AJ8" s="41">
        <f>SUM(D8,E8,F8,G8,H8,I8,J8,K8,L8,M8,N8,O8,P8,Q8,R8,S8,T8,U8,V8,W8,X8,Y8,Z8,AA8,AB8,AC8,AD8,AE8,AF8,AG8,AH8)</f>
        <v>89</v>
      </c>
      <c r="AK8" s="42">
        <f>(AJ8/(AJ3+AJ4))*100</f>
        <v>14.833333333333334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>
        <v>111</v>
      </c>
      <c r="AE9" s="23"/>
      <c r="AF9" s="2"/>
      <c r="AG9" s="23"/>
      <c r="AH9" s="2"/>
      <c r="AI9" s="43">
        <f t="shared" si="0"/>
        <v>3.5806451612903225</v>
      </c>
      <c r="AJ9" s="32">
        <f>SUM(D9,E9,F9,G9,H9,I9,J9,K9,L9,M9,N9,O9,P9,Q9,R9,S9,T9,U9,V9,W9,X9,Y9,Z9,AA9,AB9,AC9,AD9,AE9,AF9,AG9,AH9)</f>
        <v>111</v>
      </c>
      <c r="AK9" s="3">
        <f>(AJ9/(AJ3+AJ4))*100</f>
        <v>18.5</v>
      </c>
    </row>
    <row r="10" spans="1:37" ht="18.95" customHeight="1" x14ac:dyDescent="0.3">
      <c r="A10" s="88"/>
      <c r="B10" s="90"/>
      <c r="C10" s="60" t="s">
        <v>29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7</v>
      </c>
      <c r="D11" s="21"/>
      <c r="E11" s="2"/>
      <c r="F11" s="2"/>
      <c r="G11" s="2"/>
      <c r="H11" s="2">
        <v>4</v>
      </c>
      <c r="I11" s="2"/>
      <c r="J11" s="22"/>
      <c r="K11" s="2"/>
      <c r="L11" s="2"/>
      <c r="M11" s="2"/>
      <c r="N11" s="2"/>
      <c r="O11" s="2"/>
      <c r="P11" s="2"/>
      <c r="Q11" s="2"/>
      <c r="R11" s="2"/>
      <c r="S11" s="2">
        <v>58</v>
      </c>
      <c r="T11" s="2"/>
      <c r="U11" s="2"/>
      <c r="V11" s="2"/>
      <c r="W11" s="2"/>
      <c r="X11" s="2"/>
      <c r="Y11" s="2"/>
      <c r="Z11" s="2"/>
      <c r="AA11" s="2">
        <v>80</v>
      </c>
      <c r="AB11" s="2"/>
      <c r="AC11" s="21">
        <v>13</v>
      </c>
      <c r="AD11" s="2">
        <v>7</v>
      </c>
      <c r="AE11" s="23"/>
      <c r="AF11" s="2"/>
      <c r="AG11" s="23"/>
      <c r="AH11" s="2"/>
      <c r="AI11" s="43">
        <f t="shared" si="0"/>
        <v>5.225806451612903</v>
      </c>
      <c r="AJ11" s="32">
        <f>SUM(D11,E11,F11,G11,H11,I11,J11,K11,L11,M11,N11,O11,P11,Q11,R11,S11,T11,U11,V11,W11,X11,Y11,Z11,AA11,AB11,AC11,AD11,AE11,AF11,AG11,AH11)</f>
        <v>162</v>
      </c>
      <c r="AK11" s="3">
        <f>(AJ11/(AJ3+AJ4))*100</f>
        <v>27</v>
      </c>
    </row>
    <row r="12" spans="1:37" ht="18.95" customHeight="1" x14ac:dyDescent="0.3">
      <c r="A12" s="88"/>
      <c r="B12" s="91" t="s">
        <v>4</v>
      </c>
      <c r="C12" s="62" t="s">
        <v>8</v>
      </c>
      <c r="D12" s="6">
        <v>30</v>
      </c>
      <c r="E12" s="6">
        <v>74</v>
      </c>
      <c r="F12" s="6">
        <v>21</v>
      </c>
      <c r="G12" s="6"/>
      <c r="H12" s="6"/>
      <c r="I12" s="6"/>
      <c r="J12" s="26">
        <v>27</v>
      </c>
      <c r="K12" s="6"/>
      <c r="L12" s="6"/>
      <c r="M12" s="6"/>
      <c r="N12" s="6">
        <v>44</v>
      </c>
      <c r="O12" s="6"/>
      <c r="P12" s="6"/>
      <c r="Q12" s="6">
        <v>58</v>
      </c>
      <c r="R12" s="6"/>
      <c r="S12" s="6"/>
      <c r="T12" s="6"/>
      <c r="U12" s="6">
        <v>40</v>
      </c>
      <c r="V12" s="6"/>
      <c r="W12" s="6"/>
      <c r="X12" s="6"/>
      <c r="Y12" s="6">
        <v>19</v>
      </c>
      <c r="Z12" s="6">
        <v>14</v>
      </c>
      <c r="AA12" s="6"/>
      <c r="AB12" s="6"/>
      <c r="AC12" s="27"/>
      <c r="AD12" s="6">
        <v>26</v>
      </c>
      <c r="AE12" s="26"/>
      <c r="AF12" s="6"/>
      <c r="AG12" s="26">
        <v>19</v>
      </c>
      <c r="AH12" s="6"/>
      <c r="AI12" s="45">
        <f t="shared" si="0"/>
        <v>12</v>
      </c>
      <c r="AJ12" s="34">
        <f>SUM(D12,E12,F12,G12,H12,I12,J12,K12,L12,M12,N12,O12,P12,Q12,R12,S12,T12,U12,V12,W12,X12,Y12,Z12,AA12,AB12,AC12,AD12,AE12,AF12,AG12,AH12)</f>
        <v>372</v>
      </c>
      <c r="AK12" s="7">
        <f>(AJ12/(AJ3+AJ4))*100</f>
        <v>62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>
        <v>22</v>
      </c>
      <c r="K13" s="8"/>
      <c r="L13" s="8"/>
      <c r="M13" s="8"/>
      <c r="N13" s="8">
        <v>10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>
        <v>14</v>
      </c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1.4838709677419355</v>
      </c>
      <c r="AJ13" s="35">
        <f t="shared" si="1"/>
        <v>46</v>
      </c>
      <c r="AK13" s="9">
        <f>(AJ13/(AJ3+AJ4))*100</f>
        <v>7.6666666666666661</v>
      </c>
    </row>
    <row r="14" spans="1:37" ht="18.95" customHeight="1" x14ac:dyDescent="0.3">
      <c r="A14" s="88"/>
      <c r="B14" s="92"/>
      <c r="C14" s="56" t="s">
        <v>27</v>
      </c>
      <c r="D14" s="6"/>
      <c r="E14" s="6"/>
      <c r="F14" s="6"/>
      <c r="G14" s="6"/>
      <c r="H14" s="6"/>
      <c r="I14" s="6"/>
      <c r="J14" s="26"/>
      <c r="K14" s="6">
        <v>48</v>
      </c>
      <c r="L14" s="6">
        <v>87</v>
      </c>
      <c r="M14" s="6"/>
      <c r="N14" s="6"/>
      <c r="O14" s="6"/>
      <c r="P14" s="6"/>
      <c r="Q14" s="6"/>
      <c r="R14" s="6"/>
      <c r="S14" s="6">
        <v>143</v>
      </c>
      <c r="T14" s="6">
        <v>19</v>
      </c>
      <c r="U14" s="6"/>
      <c r="V14" s="6"/>
      <c r="W14" s="6">
        <v>235</v>
      </c>
      <c r="X14" s="6"/>
      <c r="Y14" s="6">
        <v>56</v>
      </c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18.967741935483872</v>
      </c>
      <c r="AJ14" s="34">
        <f t="shared" si="1"/>
        <v>588</v>
      </c>
      <c r="AK14" s="7">
        <f>(AJ14/(AJ3+AJ4))*100</f>
        <v>98</v>
      </c>
    </row>
    <row r="15" spans="1:37" ht="18.95" customHeight="1" x14ac:dyDescent="0.3">
      <c r="A15" s="88"/>
      <c r="B15" s="92"/>
      <c r="C15" s="68" t="s">
        <v>4</v>
      </c>
      <c r="D15" s="51">
        <v>24</v>
      </c>
      <c r="E15" s="51"/>
      <c r="F15" s="51">
        <v>20</v>
      </c>
      <c r="G15" s="51"/>
      <c r="H15" s="51"/>
      <c r="I15" s="51"/>
      <c r="J15" s="50">
        <v>37</v>
      </c>
      <c r="K15" s="51"/>
      <c r="L15" s="51">
        <v>185</v>
      </c>
      <c r="M15" s="51"/>
      <c r="N15" s="51"/>
      <c r="O15" s="51">
        <v>50</v>
      </c>
      <c r="P15" s="51"/>
      <c r="Q15" s="51"/>
      <c r="R15" s="51"/>
      <c r="S15" s="51"/>
      <c r="T15" s="51"/>
      <c r="U15" s="51">
        <v>37</v>
      </c>
      <c r="V15" s="51"/>
      <c r="W15" s="51"/>
      <c r="X15" s="51"/>
      <c r="Y15" s="51"/>
      <c r="Z15" s="51">
        <v>19</v>
      </c>
      <c r="AA15" s="51"/>
      <c r="AB15" s="51"/>
      <c r="AC15" s="52"/>
      <c r="AD15" s="51"/>
      <c r="AE15" s="50"/>
      <c r="AF15" s="51">
        <v>63</v>
      </c>
      <c r="AG15" s="50"/>
      <c r="AH15" s="51"/>
      <c r="AI15" s="45">
        <f t="shared" si="0"/>
        <v>14.03225806451613</v>
      </c>
      <c r="AJ15" s="34">
        <f>SUM(D15,E15,F15,G15,H15,I15,J15,K15,L15,M15,N15,O15,P15,Q15,R15,S15,T15,U15,V15,W15,X15,Y15,Z15,AA15,AB15,AC15,AD15,AE15,AF15,AG15,AH15)</f>
        <v>435</v>
      </c>
      <c r="AK15" s="7">
        <f>(AJ15/(AJ3+AJ4))*100</f>
        <v>72.5</v>
      </c>
    </row>
    <row r="16" spans="1:37" ht="18.399999999999999" customHeight="1" x14ac:dyDescent="0.3">
      <c r="A16" s="89"/>
      <c r="B16" s="69" t="s">
        <v>9</v>
      </c>
      <c r="C16" s="65"/>
      <c r="D16" s="80">
        <f>SUM(D5:F15)+132</f>
        <v>325</v>
      </c>
      <c r="E16" s="81"/>
      <c r="F16" s="82"/>
      <c r="G16" s="80">
        <f>SUM(G5:M15)</f>
        <v>532</v>
      </c>
      <c r="H16" s="81"/>
      <c r="I16" s="81"/>
      <c r="J16" s="81"/>
      <c r="K16" s="81"/>
      <c r="L16" s="81"/>
      <c r="M16" s="82"/>
      <c r="N16" s="80">
        <f>SUM(N5:T15)</f>
        <v>544</v>
      </c>
      <c r="O16" s="81"/>
      <c r="P16" s="81"/>
      <c r="Q16" s="81"/>
      <c r="R16" s="81"/>
      <c r="S16" s="81"/>
      <c r="T16" s="82"/>
      <c r="U16" s="80">
        <f>SUM(U5:AA15)</f>
        <v>878</v>
      </c>
      <c r="V16" s="81"/>
      <c r="W16" s="81"/>
      <c r="X16" s="81"/>
      <c r="Y16" s="81"/>
      <c r="Z16" s="81"/>
      <c r="AA16" s="82"/>
      <c r="AB16" s="80">
        <f>SUM(AB5:AG15)</f>
        <v>361</v>
      </c>
      <c r="AC16" s="81"/>
      <c r="AD16" s="81"/>
      <c r="AE16" s="81"/>
      <c r="AF16" s="81"/>
      <c r="AG16" s="82"/>
      <c r="AH16" s="71"/>
      <c r="AI16" s="53">
        <f>AJ16/31</f>
        <v>80.903225806451616</v>
      </c>
      <c r="AJ16" s="49">
        <f>SUM(AJ5,AJ6,AJ7,AJ8,AJ9,AJ10,AJ11,AJ12,AJ13,AJ14,AJ15)</f>
        <v>2508</v>
      </c>
      <c r="AK16" s="10">
        <f>SUM(AK5,AK6,AK7,AK8,AK9,AK10,AK11,AK12,AK13,AK14,AK15)</f>
        <v>418</v>
      </c>
    </row>
    <row r="17" spans="1:37" ht="18" customHeight="1" x14ac:dyDescent="0.3">
      <c r="A17" s="114" t="s">
        <v>25</v>
      </c>
      <c r="B17" s="121"/>
      <c r="C17" s="122"/>
      <c r="D17" s="116">
        <v>2010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0"/>
    </row>
    <row r="18" spans="1:37" ht="18" customHeight="1" x14ac:dyDescent="0.3">
      <c r="A18" s="109" t="s">
        <v>19</v>
      </c>
      <c r="B18" s="109"/>
      <c r="C18" s="110"/>
      <c r="D18" s="120">
        <f>(AJ3+AJ4)-AJ16</f>
        <v>-1908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-318</v>
      </c>
    </row>
    <row r="19" spans="1:37" ht="18" customHeight="1" x14ac:dyDescent="0.3">
      <c r="A19" s="108" t="s">
        <v>26</v>
      </c>
      <c r="B19" s="109"/>
      <c r="C19" s="110"/>
      <c r="D19" s="111">
        <f>(AJ3+AJ4+D17)-AJ16</f>
        <v>102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28</v>
      </c>
    </row>
  </sheetData>
  <mergeCells count="21">
    <mergeCell ref="A1:C2"/>
    <mergeCell ref="AI1:AI2"/>
    <mergeCell ref="AJ1:AJ2"/>
    <mergeCell ref="AK1:AK2"/>
    <mergeCell ref="A3:B4"/>
    <mergeCell ref="AI3:AI4"/>
    <mergeCell ref="AK3:AK4"/>
    <mergeCell ref="A19:C19"/>
    <mergeCell ref="D19:AJ19"/>
    <mergeCell ref="D16:F16"/>
    <mergeCell ref="G16:M16"/>
    <mergeCell ref="N16:T16"/>
    <mergeCell ref="U16:AA16"/>
    <mergeCell ref="AB16:AG16"/>
    <mergeCell ref="A17:C17"/>
    <mergeCell ref="D17:AJ17"/>
    <mergeCell ref="A18:C18"/>
    <mergeCell ref="D18:AJ18"/>
    <mergeCell ref="A5:A16"/>
    <mergeCell ref="B5:B11"/>
    <mergeCell ref="B12:B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7" t="s">
        <v>10</v>
      </c>
      <c r="E1" s="55" t="s">
        <v>16</v>
      </c>
      <c r="F1" s="36" t="s">
        <v>15</v>
      </c>
      <c r="G1" s="37" t="s">
        <v>14</v>
      </c>
      <c r="H1" s="36" t="s">
        <v>13</v>
      </c>
      <c r="I1" s="36" t="s">
        <v>12</v>
      </c>
      <c r="J1" s="36" t="s">
        <v>11</v>
      </c>
      <c r="K1" s="37" t="s">
        <v>10</v>
      </c>
      <c r="L1" s="55" t="s">
        <v>16</v>
      </c>
      <c r="M1" s="36" t="s">
        <v>15</v>
      </c>
      <c r="N1" s="37" t="s">
        <v>14</v>
      </c>
      <c r="O1" s="36" t="s">
        <v>13</v>
      </c>
      <c r="P1" s="36" t="s">
        <v>12</v>
      </c>
      <c r="Q1" s="36" t="s">
        <v>11</v>
      </c>
      <c r="R1" s="37" t="s">
        <v>10</v>
      </c>
      <c r="S1" s="55" t="s">
        <v>16</v>
      </c>
      <c r="T1" s="36" t="s">
        <v>15</v>
      </c>
      <c r="U1" s="37" t="s">
        <v>14</v>
      </c>
      <c r="V1" s="36" t="s">
        <v>13</v>
      </c>
      <c r="W1" s="36" t="s">
        <v>12</v>
      </c>
      <c r="X1" s="36" t="s">
        <v>11</v>
      </c>
      <c r="Y1" s="37" t="s">
        <v>10</v>
      </c>
      <c r="Z1" s="55" t="s">
        <v>16</v>
      </c>
      <c r="AA1" s="36" t="s">
        <v>15</v>
      </c>
      <c r="AB1" s="37" t="s">
        <v>14</v>
      </c>
      <c r="AC1" s="36" t="s">
        <v>13</v>
      </c>
      <c r="AD1" s="36" t="s">
        <v>12</v>
      </c>
      <c r="AE1" s="36" t="s">
        <v>11</v>
      </c>
      <c r="AF1" s="37" t="s">
        <v>10</v>
      </c>
      <c r="AG1" s="55" t="s">
        <v>16</v>
      </c>
      <c r="AH1" s="36" t="s">
        <v>15</v>
      </c>
      <c r="AI1" s="94" t="s">
        <v>22</v>
      </c>
      <c r="AJ1" s="96" t="s">
        <v>17</v>
      </c>
      <c r="AK1" s="98" t="s">
        <v>18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>
        <v>272</v>
      </c>
      <c r="I3" s="18"/>
      <c r="J3" s="16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>
        <v>193</v>
      </c>
      <c r="AC3" s="14"/>
      <c r="AD3" s="15">
        <v>193</v>
      </c>
      <c r="AE3" s="17"/>
      <c r="AF3" s="15"/>
      <c r="AG3" s="17"/>
      <c r="AH3" s="15"/>
      <c r="AI3" s="104">
        <f>(AJ3+AJ4)/31</f>
        <v>48.612903225806448</v>
      </c>
      <c r="AJ3" s="48">
        <f>SUM(D3:AH3)</f>
        <v>658</v>
      </c>
      <c r="AK3" s="106">
        <v>100</v>
      </c>
    </row>
    <row r="4" spans="1:37" ht="18.95" customHeight="1" x14ac:dyDescent="0.3">
      <c r="A4" s="102"/>
      <c r="B4" s="103"/>
      <c r="C4" s="58" t="s">
        <v>24</v>
      </c>
      <c r="D4" s="18"/>
      <c r="E4" s="18"/>
      <c r="F4" s="18"/>
      <c r="G4" s="18"/>
      <c r="H4" s="18"/>
      <c r="I4" s="18"/>
      <c r="J4" s="19"/>
      <c r="K4" s="18">
        <v>56</v>
      </c>
      <c r="L4" s="18">
        <v>130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>
        <v>278</v>
      </c>
      <c r="Z4" s="18"/>
      <c r="AA4" s="18">
        <v>385</v>
      </c>
      <c r="AB4" s="18"/>
      <c r="AC4" s="20"/>
      <c r="AD4" s="18"/>
      <c r="AE4" s="19"/>
      <c r="AF4" s="18"/>
      <c r="AG4" s="19"/>
      <c r="AH4" s="18"/>
      <c r="AI4" s="105"/>
      <c r="AJ4" s="48">
        <f>SUM(D4:AH4)</f>
        <v>849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23</v>
      </c>
      <c r="D5" s="21">
        <v>13</v>
      </c>
      <c r="E5" s="2"/>
      <c r="F5" s="2"/>
      <c r="G5" s="2">
        <v>27</v>
      </c>
      <c r="H5" s="2">
        <v>7</v>
      </c>
      <c r="I5" s="2"/>
      <c r="J5" s="22"/>
      <c r="K5" s="2"/>
      <c r="L5" s="2">
        <v>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1"/>
      <c r="AD5" s="2">
        <v>17</v>
      </c>
      <c r="AE5" s="23">
        <v>39</v>
      </c>
      <c r="AF5" s="2"/>
      <c r="AG5" s="23">
        <v>7</v>
      </c>
      <c r="AH5" s="2">
        <v>90</v>
      </c>
      <c r="AI5" s="43">
        <f t="shared" ref="AI5:AI15" si="0">AJ5/31</f>
        <v>6.5483870967741939</v>
      </c>
      <c r="AJ5" s="32">
        <f>SUM(D5,E5,F5,G5,H5,I5,J5,K5,L5,M5,N5,O5,P5,Q5,R5,S5,T5,U5,V5,W5,X5,Y5,Z5,AA5,AB5,AC5,AD5,AE5,AF5,AG5,AH5)</f>
        <v>203</v>
      </c>
      <c r="AK5" s="3">
        <f>(AJ5/(AJ3+AJ4))*100</f>
        <v>13.470471134704711</v>
      </c>
    </row>
    <row r="6" spans="1:37" ht="18.95" customHeight="1" x14ac:dyDescent="0.3">
      <c r="A6" s="88"/>
      <c r="B6" s="90"/>
      <c r="C6" s="60" t="s">
        <v>6</v>
      </c>
      <c r="D6" s="4"/>
      <c r="E6" s="4">
        <v>28</v>
      </c>
      <c r="F6" s="4">
        <v>25</v>
      </c>
      <c r="G6" s="4">
        <v>11</v>
      </c>
      <c r="H6" s="4">
        <v>9</v>
      </c>
      <c r="I6" s="4"/>
      <c r="J6" s="24"/>
      <c r="K6" s="4"/>
      <c r="L6" s="4">
        <v>2</v>
      </c>
      <c r="M6" s="4">
        <v>23</v>
      </c>
      <c r="N6" s="4">
        <v>2</v>
      </c>
      <c r="O6" s="4">
        <v>3</v>
      </c>
      <c r="P6" s="4">
        <v>5</v>
      </c>
      <c r="Q6" s="4"/>
      <c r="R6" s="4"/>
      <c r="S6" s="4"/>
      <c r="T6" s="4"/>
      <c r="U6" s="4"/>
      <c r="V6" s="4"/>
      <c r="W6" s="4"/>
      <c r="X6" s="4">
        <v>131</v>
      </c>
      <c r="Y6" s="4">
        <v>23</v>
      </c>
      <c r="Z6" s="4"/>
      <c r="AA6" s="4"/>
      <c r="AB6" s="4">
        <v>34</v>
      </c>
      <c r="AC6" s="25">
        <v>14</v>
      </c>
      <c r="AD6" s="4">
        <v>14</v>
      </c>
      <c r="AE6" s="24"/>
      <c r="AF6" s="4"/>
      <c r="AG6" s="24"/>
      <c r="AH6" s="4">
        <v>5</v>
      </c>
      <c r="AI6" s="44">
        <f t="shared" si="0"/>
        <v>10.612903225806452</v>
      </c>
      <c r="AJ6" s="33">
        <f>SUM(D6,E6,F6,G6,H6,I6,J6,K6,L6,M6,N6,O6,P6,Q6,R6,S6,T6,U6,V6,W6,X6,Y6,Z6,AA6,AB6,AC6,AD6,AE6,AF6,AG6,AH6)</f>
        <v>329</v>
      </c>
      <c r="AK6" s="5">
        <f>(AJ6/(AJ3+AJ4))*100</f>
        <v>21.831453218314532</v>
      </c>
    </row>
    <row r="7" spans="1:37" ht="18.95" customHeight="1" x14ac:dyDescent="0.3">
      <c r="A7" s="88"/>
      <c r="B7" s="90"/>
      <c r="C7" s="60" t="s">
        <v>20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8"/>
      <c r="B8" s="90"/>
      <c r="C8" s="61" t="s">
        <v>21</v>
      </c>
      <c r="D8" s="38"/>
      <c r="E8" s="39"/>
      <c r="F8" s="39">
        <v>1</v>
      </c>
      <c r="G8" s="39"/>
      <c r="H8" s="39"/>
      <c r="I8" s="39"/>
      <c r="J8" s="40"/>
      <c r="K8" s="39"/>
      <c r="L8" s="39"/>
      <c r="M8" s="39">
        <v>11</v>
      </c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>
        <v>7</v>
      </c>
      <c r="AC8" s="38"/>
      <c r="AD8" s="39">
        <v>3</v>
      </c>
      <c r="AE8" s="40"/>
      <c r="AF8" s="39"/>
      <c r="AG8" s="40"/>
      <c r="AH8" s="39"/>
      <c r="AI8" s="47">
        <f t="shared" si="0"/>
        <v>0.70967741935483875</v>
      </c>
      <c r="AJ8" s="41">
        <f>SUM(D8,E8,F8,G8,H8,I8,J8,K8,L8,M8,N8,O8,P8,Q8,R8,S8,T8,U8,V8,W8,X8,Y8,Z8,AA8,AB8,AC8,AD8,AE8,AF8,AG8,AH8)</f>
        <v>22</v>
      </c>
      <c r="AK8" s="42">
        <f>(AJ8/(AJ3+AJ4))*100</f>
        <v>1.4598540145985401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/>
      <c r="AG9" s="23">
        <v>116</v>
      </c>
      <c r="AH9" s="2"/>
      <c r="AI9" s="43">
        <f t="shared" si="0"/>
        <v>3.7419354838709675</v>
      </c>
      <c r="AJ9" s="32">
        <f>SUM(D9,E9,F9,G9,H9,I9,J9,K9,L9,M9,N9,O9,P9,Q9,R9,S9,T9,U9,V9,W9,X9,Y9,Z9,AA9,AB9,AC9,AD9,AE9,AF9,AG9,AH9)</f>
        <v>116</v>
      </c>
      <c r="AK9" s="3">
        <f>(AJ9/(AJ3+AJ4))*100</f>
        <v>7.6974120769741212</v>
      </c>
    </row>
    <row r="10" spans="1:37" ht="18.95" customHeight="1" x14ac:dyDescent="0.3">
      <c r="A10" s="88"/>
      <c r="B10" s="90"/>
      <c r="C10" s="60" t="s">
        <v>29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7</v>
      </c>
      <c r="D11" s="21"/>
      <c r="E11" s="2"/>
      <c r="F11" s="2"/>
      <c r="G11" s="2"/>
      <c r="H11" s="2"/>
      <c r="I11" s="2"/>
      <c r="J11" s="2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0</v>
      </c>
      <c r="AJ11" s="32">
        <f>SUM(D11,E11,F11,G11,H11,I11,J11,K11,L11,M11,N11,O11,P11,Q11,R11,S11,T11,U11,V11,W11,X11,Y11,Z11,AA11,AB11,AC11,AD11,AE11,AF11,AG11,AH11)</f>
        <v>0</v>
      </c>
      <c r="AK11" s="3">
        <f>(AJ11/(AJ3+AJ4))*100</f>
        <v>0</v>
      </c>
    </row>
    <row r="12" spans="1:37" ht="18.95" customHeight="1" x14ac:dyDescent="0.3">
      <c r="A12" s="88"/>
      <c r="B12" s="91" t="s">
        <v>4</v>
      </c>
      <c r="C12" s="62" t="s">
        <v>8</v>
      </c>
      <c r="D12" s="6"/>
      <c r="E12" s="6">
        <v>56</v>
      </c>
      <c r="F12" s="6"/>
      <c r="G12" s="6"/>
      <c r="H12" s="6"/>
      <c r="I12" s="6">
        <v>19</v>
      </c>
      <c r="J12" s="26"/>
      <c r="K12" s="6"/>
      <c r="L12" s="6"/>
      <c r="M12" s="6"/>
      <c r="N12" s="6"/>
      <c r="O12" s="6"/>
      <c r="P12" s="6">
        <v>70</v>
      </c>
      <c r="Q12" s="6">
        <v>39</v>
      </c>
      <c r="R12" s="6"/>
      <c r="S12" s="6"/>
      <c r="T12" s="6"/>
      <c r="U12" s="6"/>
      <c r="V12" s="6"/>
      <c r="W12" s="6"/>
      <c r="X12" s="6"/>
      <c r="Y12" s="6">
        <v>10</v>
      </c>
      <c r="Z12" s="6"/>
      <c r="AA12" s="6"/>
      <c r="AB12" s="6"/>
      <c r="AC12" s="27"/>
      <c r="AD12" s="6">
        <v>29</v>
      </c>
      <c r="AE12" s="26">
        <v>118</v>
      </c>
      <c r="AF12" s="6"/>
      <c r="AG12" s="26"/>
      <c r="AH12" s="6"/>
      <c r="AI12" s="45">
        <f t="shared" si="0"/>
        <v>11</v>
      </c>
      <c r="AJ12" s="34">
        <f>SUM(D12,E12,F12,G12,H12,I12,J12,K12,L12,M12,N12,O12,P12,Q12,R12,S12,T12,U12,V12,W12,X12,Y12,Z12,AA12,AB12,AC12,AD12,AE12,AF12,AG12,AH12)</f>
        <v>341</v>
      </c>
      <c r="AK12" s="7">
        <f>(AJ12/(AJ3+AJ4))*100</f>
        <v>22.627737226277372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</v>
      </c>
      <c r="AJ13" s="35">
        <f>SUM(D13,E13,F13,G13,H13,I13,J13,K13,L13,M13,N13,O13,P13,Q13,R13,S13,T13,U13,V13,W13,X13,Y13,Z13,AA13,AB13,AC13,AD13,AE13,AF13,AG13,AH13)</f>
        <v>0</v>
      </c>
      <c r="AK13" s="9">
        <f>(AJ13/(AJ3+AJ4))*100</f>
        <v>0</v>
      </c>
    </row>
    <row r="14" spans="1:37" ht="18.95" customHeight="1" x14ac:dyDescent="0.3">
      <c r="A14" s="88"/>
      <c r="B14" s="92"/>
      <c r="C14" s="56" t="s">
        <v>27</v>
      </c>
      <c r="D14" s="6"/>
      <c r="E14" s="6">
        <v>37</v>
      </c>
      <c r="F14" s="6"/>
      <c r="G14" s="6"/>
      <c r="H14" s="6"/>
      <c r="I14" s="6"/>
      <c r="J14" s="26"/>
      <c r="K14" s="6">
        <v>56</v>
      </c>
      <c r="L14" s="6"/>
      <c r="M14" s="6"/>
      <c r="N14" s="6">
        <v>218</v>
      </c>
      <c r="O14" s="6">
        <v>119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13.870967741935484</v>
      </c>
      <c r="AJ14" s="34">
        <f t="shared" si="1"/>
        <v>430</v>
      </c>
      <c r="AK14" s="7">
        <f>(AJ14/(AJ3+AJ4))*100</f>
        <v>28.533510285335101</v>
      </c>
    </row>
    <row r="15" spans="1:37" ht="18.95" customHeight="1" x14ac:dyDescent="0.3">
      <c r="A15" s="88"/>
      <c r="B15" s="92"/>
      <c r="C15" s="68" t="s">
        <v>4</v>
      </c>
      <c r="D15" s="51">
        <v>37</v>
      </c>
      <c r="E15" s="51">
        <v>19</v>
      </c>
      <c r="F15" s="51"/>
      <c r="G15" s="51"/>
      <c r="H15" s="51">
        <v>56</v>
      </c>
      <c r="I15" s="51">
        <v>18</v>
      </c>
      <c r="J15" s="50">
        <v>37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>
        <v>70</v>
      </c>
      <c r="AA15" s="51"/>
      <c r="AB15" s="51">
        <v>173</v>
      </c>
      <c r="AC15" s="52"/>
      <c r="AD15" s="51"/>
      <c r="AE15" s="50"/>
      <c r="AF15" s="51">
        <v>154</v>
      </c>
      <c r="AG15" s="50"/>
      <c r="AH15" s="51"/>
      <c r="AI15" s="45">
        <f t="shared" si="0"/>
        <v>18.193548387096776</v>
      </c>
      <c r="AJ15" s="34">
        <f>SUM(D15,E15,F15,G15,H15,I15,J15,K15,L15,M15,N15,O15,P15,Q15,R15,S15,T15,U15,V15,W15,X15,Y15,Z15,AA15,AB15,AC15,AD15,AE15,AF15,AG15,AH15)</f>
        <v>564</v>
      </c>
      <c r="AK15" s="7">
        <f>(AJ15/(AJ3+AJ4))*100</f>
        <v>37.425348374253488</v>
      </c>
    </row>
    <row r="16" spans="1:37" ht="18.399999999999999" customHeight="1" x14ac:dyDescent="0.3">
      <c r="A16" s="89"/>
      <c r="B16" s="69" t="s">
        <v>9</v>
      </c>
      <c r="C16" s="65"/>
      <c r="D16" s="71"/>
      <c r="E16" s="80">
        <f>SUM(E5:K15)</f>
        <v>406</v>
      </c>
      <c r="F16" s="81"/>
      <c r="G16" s="81"/>
      <c r="H16" s="81"/>
      <c r="I16" s="81"/>
      <c r="J16" s="81"/>
      <c r="K16" s="81"/>
      <c r="L16" s="80">
        <f>SUM(L5:R15)</f>
        <v>495</v>
      </c>
      <c r="M16" s="81"/>
      <c r="N16" s="81"/>
      <c r="O16" s="81"/>
      <c r="P16" s="81"/>
      <c r="Q16" s="81"/>
      <c r="R16" s="82"/>
      <c r="S16" s="80">
        <f>SUM(S5:Y15)</f>
        <v>164</v>
      </c>
      <c r="T16" s="81"/>
      <c r="U16" s="81"/>
      <c r="V16" s="81"/>
      <c r="W16" s="81"/>
      <c r="X16" s="81"/>
      <c r="Y16" s="82"/>
      <c r="Z16" s="80">
        <f>SUM(Z5:AF15)</f>
        <v>672</v>
      </c>
      <c r="AA16" s="81"/>
      <c r="AB16" s="81"/>
      <c r="AC16" s="81"/>
      <c r="AD16" s="81"/>
      <c r="AE16" s="81"/>
      <c r="AF16" s="82"/>
      <c r="AG16" s="80">
        <f>SUM(AG5:AH15)</f>
        <v>218</v>
      </c>
      <c r="AH16" s="82"/>
      <c r="AI16" s="53">
        <f>AJ16/31</f>
        <v>64.677419354838705</v>
      </c>
      <c r="AJ16" s="49">
        <f>SUM(AJ5,AJ6,AJ7,AJ8,AJ9,AJ10,AJ11,AJ12,AJ13,AJ14,AJ15)</f>
        <v>2005</v>
      </c>
      <c r="AK16" s="10">
        <f>SUM(AK5,AK6,AK7,AK8,AK9,AK10,AK11,AK12,AK13,AK14,AK15)</f>
        <v>133.04578633045787</v>
      </c>
    </row>
    <row r="17" spans="1:37" ht="18" customHeight="1" x14ac:dyDescent="0.3">
      <c r="A17" s="114" t="s">
        <v>25</v>
      </c>
      <c r="B17" s="121"/>
      <c r="C17" s="122"/>
      <c r="D17" s="116">
        <v>102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2"/>
    </row>
    <row r="18" spans="1:37" ht="18" customHeight="1" x14ac:dyDescent="0.3">
      <c r="A18" s="109" t="s">
        <v>19</v>
      </c>
      <c r="B18" s="109"/>
      <c r="C18" s="110"/>
      <c r="D18" s="120">
        <f>(AJ3+AJ4)-AJ16</f>
        <v>-498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-33.045786330457865</v>
      </c>
    </row>
    <row r="19" spans="1:37" ht="18" customHeight="1" x14ac:dyDescent="0.3">
      <c r="A19" s="108" t="s">
        <v>26</v>
      </c>
      <c r="B19" s="109"/>
      <c r="C19" s="110"/>
      <c r="D19" s="111">
        <f>(AJ3+AJ4+D17)-AJ16</f>
        <v>-396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28</v>
      </c>
    </row>
  </sheetData>
  <mergeCells count="21">
    <mergeCell ref="A5:A16"/>
    <mergeCell ref="B5:B11"/>
    <mergeCell ref="B12:B15"/>
    <mergeCell ref="A19:C19"/>
    <mergeCell ref="D19:AJ19"/>
    <mergeCell ref="A17:C17"/>
    <mergeCell ref="D17:AJ17"/>
    <mergeCell ref="A18:C18"/>
    <mergeCell ref="D18:AJ18"/>
    <mergeCell ref="AG16:AH16"/>
    <mergeCell ref="E16:K16"/>
    <mergeCell ref="L16:R16"/>
    <mergeCell ref="S16:Y16"/>
    <mergeCell ref="Z16:AF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7" t="s">
        <v>14</v>
      </c>
      <c r="E1" s="36" t="s">
        <v>13</v>
      </c>
      <c r="F1" s="36" t="s">
        <v>12</v>
      </c>
      <c r="G1" s="36" t="s">
        <v>11</v>
      </c>
      <c r="H1" s="37" t="s">
        <v>10</v>
      </c>
      <c r="I1" s="55" t="s">
        <v>16</v>
      </c>
      <c r="J1" s="36" t="s">
        <v>15</v>
      </c>
      <c r="K1" s="37" t="s">
        <v>14</v>
      </c>
      <c r="L1" s="36" t="s">
        <v>13</v>
      </c>
      <c r="M1" s="36" t="s">
        <v>12</v>
      </c>
      <c r="N1" s="36" t="s">
        <v>11</v>
      </c>
      <c r="O1" s="37" t="s">
        <v>10</v>
      </c>
      <c r="P1" s="55" t="s">
        <v>16</v>
      </c>
      <c r="Q1" s="36" t="s">
        <v>15</v>
      </c>
      <c r="R1" s="37" t="s">
        <v>14</v>
      </c>
      <c r="S1" s="36" t="s">
        <v>13</v>
      </c>
      <c r="T1" s="36" t="s">
        <v>12</v>
      </c>
      <c r="U1" s="36" t="s">
        <v>11</v>
      </c>
      <c r="V1" s="37" t="s">
        <v>10</v>
      </c>
      <c r="W1" s="55" t="s">
        <v>16</v>
      </c>
      <c r="X1" s="36" t="s">
        <v>15</v>
      </c>
      <c r="Y1" s="37" t="s">
        <v>14</v>
      </c>
      <c r="Z1" s="36" t="s">
        <v>13</v>
      </c>
      <c r="AA1" s="36" t="s">
        <v>12</v>
      </c>
      <c r="AB1" s="36" t="s">
        <v>11</v>
      </c>
      <c r="AC1" s="37" t="s">
        <v>10</v>
      </c>
      <c r="AD1" s="55" t="s">
        <v>16</v>
      </c>
      <c r="AE1" s="36" t="s">
        <v>15</v>
      </c>
      <c r="AF1" s="37" t="s">
        <v>14</v>
      </c>
      <c r="AG1" s="36" t="s">
        <v>13</v>
      </c>
      <c r="AH1" s="36"/>
      <c r="AI1" s="94" t="s">
        <v>22</v>
      </c>
      <c r="AJ1" s="96" t="s">
        <v>17</v>
      </c>
      <c r="AK1" s="98" t="s">
        <v>18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/>
      <c r="J3" s="16"/>
      <c r="K3" s="15"/>
      <c r="L3" s="15">
        <v>88</v>
      </c>
      <c r="M3" s="15"/>
      <c r="N3" s="15"/>
      <c r="O3" s="15"/>
      <c r="P3" s="15"/>
      <c r="Q3" s="15"/>
      <c r="R3" s="15"/>
      <c r="S3" s="15">
        <v>500</v>
      </c>
      <c r="T3" s="15"/>
      <c r="U3" s="15"/>
      <c r="V3" s="15"/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>
        <v>193</v>
      </c>
      <c r="AH3" s="15"/>
      <c r="AI3" s="104">
        <f>(AJ3+AJ4)/31</f>
        <v>46.451612903225808</v>
      </c>
      <c r="AJ3" s="48">
        <f>SUM(D3:AH3)</f>
        <v>781</v>
      </c>
      <c r="AK3" s="106">
        <v>100</v>
      </c>
    </row>
    <row r="4" spans="1:37" ht="18.95" customHeight="1" x14ac:dyDescent="0.3">
      <c r="A4" s="102"/>
      <c r="B4" s="103"/>
      <c r="C4" s="58" t="s">
        <v>24</v>
      </c>
      <c r="D4" s="18"/>
      <c r="E4" s="18"/>
      <c r="F4" s="18"/>
      <c r="G4" s="18"/>
      <c r="H4" s="18">
        <v>116</v>
      </c>
      <c r="I4" s="18"/>
      <c r="J4" s="19"/>
      <c r="K4" s="18"/>
      <c r="L4" s="18"/>
      <c r="M4" s="18"/>
      <c r="N4" s="18"/>
      <c r="O4" s="18"/>
      <c r="P4" s="18"/>
      <c r="Q4" s="18"/>
      <c r="R4" s="18"/>
      <c r="S4" s="18">
        <v>58</v>
      </c>
      <c r="T4" s="18"/>
      <c r="U4" s="18">
        <v>462</v>
      </c>
      <c r="V4" s="18">
        <v>23</v>
      </c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105"/>
      <c r="AJ4" s="48">
        <f>SUM(D4:AH4)</f>
        <v>659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23</v>
      </c>
      <c r="D5" s="21">
        <v>7</v>
      </c>
      <c r="E5" s="2"/>
      <c r="F5" s="2"/>
      <c r="G5" s="2"/>
      <c r="H5" s="2"/>
      <c r="I5" s="2">
        <v>5</v>
      </c>
      <c r="J5" s="22">
        <v>9</v>
      </c>
      <c r="K5" s="2">
        <v>4</v>
      </c>
      <c r="L5" s="2">
        <v>24</v>
      </c>
      <c r="M5" s="2">
        <v>20</v>
      </c>
      <c r="N5" s="2">
        <v>8</v>
      </c>
      <c r="O5" s="2"/>
      <c r="P5" s="2">
        <v>8</v>
      </c>
      <c r="Q5" s="2"/>
      <c r="R5" s="2">
        <v>3</v>
      </c>
      <c r="S5" s="2">
        <v>77</v>
      </c>
      <c r="T5" s="2">
        <v>25</v>
      </c>
      <c r="U5" s="2"/>
      <c r="V5" s="2"/>
      <c r="W5" s="2">
        <v>24</v>
      </c>
      <c r="X5" s="2"/>
      <c r="Y5" s="2"/>
      <c r="Z5" s="2">
        <v>20</v>
      </c>
      <c r="AA5" s="2">
        <v>81</v>
      </c>
      <c r="AB5" s="2"/>
      <c r="AC5" s="21">
        <v>10</v>
      </c>
      <c r="AD5" s="2"/>
      <c r="AE5" s="23">
        <v>17</v>
      </c>
      <c r="AF5" s="2"/>
      <c r="AG5" s="23">
        <v>5</v>
      </c>
      <c r="AH5" s="2"/>
      <c r="AI5" s="43">
        <f t="shared" ref="AI5:AI15" si="0">AJ5/31</f>
        <v>11.193548387096774</v>
      </c>
      <c r="AJ5" s="32">
        <f>SUM(D5,E5,F5,G5,H5,I5,J5,K5,L5,M5,N5,O5,P5,Q5,R5,S5,T5,U5,V5,W5,X5,Y5,Z5,AA5,AB5,AC5,AD5,AE5,AF5,AG5,AH5)</f>
        <v>347</v>
      </c>
      <c r="AK5" s="3">
        <f>(AJ5/(AJ3+AJ4))*100</f>
        <v>24.097222222222221</v>
      </c>
    </row>
    <row r="6" spans="1:37" ht="18.95" customHeight="1" x14ac:dyDescent="0.3">
      <c r="A6" s="88"/>
      <c r="B6" s="90"/>
      <c r="C6" s="60" t="s">
        <v>6</v>
      </c>
      <c r="D6" s="4"/>
      <c r="E6" s="4">
        <v>2</v>
      </c>
      <c r="F6" s="4">
        <v>21</v>
      </c>
      <c r="G6" s="4"/>
      <c r="H6" s="4">
        <v>26</v>
      </c>
      <c r="I6" s="4">
        <v>5</v>
      </c>
      <c r="J6" s="24"/>
      <c r="K6" s="4"/>
      <c r="L6" s="4">
        <v>12</v>
      </c>
      <c r="M6" s="4">
        <v>5</v>
      </c>
      <c r="N6" s="4"/>
      <c r="O6" s="4">
        <v>6</v>
      </c>
      <c r="P6" s="4">
        <v>5</v>
      </c>
      <c r="Q6" s="4">
        <v>2</v>
      </c>
      <c r="R6" s="4">
        <v>3</v>
      </c>
      <c r="S6" s="4">
        <v>4</v>
      </c>
      <c r="T6" s="4">
        <v>16</v>
      </c>
      <c r="U6" s="4"/>
      <c r="V6" s="4">
        <v>36</v>
      </c>
      <c r="W6" s="4">
        <v>12</v>
      </c>
      <c r="X6" s="4">
        <v>5</v>
      </c>
      <c r="Y6" s="4">
        <v>5</v>
      </c>
      <c r="Z6" s="4">
        <v>2</v>
      </c>
      <c r="AA6" s="4"/>
      <c r="AB6" s="4">
        <v>5</v>
      </c>
      <c r="AC6" s="25">
        <v>5</v>
      </c>
      <c r="AD6" s="4">
        <v>36</v>
      </c>
      <c r="AE6" s="24">
        <v>14</v>
      </c>
      <c r="AF6" s="4">
        <v>5</v>
      </c>
      <c r="AG6" s="24"/>
      <c r="AH6" s="4"/>
      <c r="AI6" s="44">
        <f t="shared" si="0"/>
        <v>7.4838709677419351</v>
      </c>
      <c r="AJ6" s="33">
        <f>SUM(D6,E6,F6,G6,H6,I6,J6,K6,L6,M6,N6,O6,P6,Q6,R6,S6,T6,U6,V6,W6,X6,Y6,Z6,AA6,AB6,AC6,AD6,AE6,AF6,AG6,AH6)</f>
        <v>232</v>
      </c>
      <c r="AK6" s="5">
        <f>(AJ6/(AJ3+AJ4))*100</f>
        <v>16.111111111111111</v>
      </c>
    </row>
    <row r="7" spans="1:37" ht="18.95" customHeight="1" x14ac:dyDescent="0.3">
      <c r="A7" s="88"/>
      <c r="B7" s="90"/>
      <c r="C7" s="60" t="s">
        <v>20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8"/>
      <c r="B8" s="90"/>
      <c r="C8" s="61" t="s">
        <v>21</v>
      </c>
      <c r="D8" s="38"/>
      <c r="E8" s="39"/>
      <c r="F8" s="39"/>
      <c r="G8" s="39">
        <v>5</v>
      </c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>
        <v>135</v>
      </c>
      <c r="X8" s="39"/>
      <c r="Y8" s="39"/>
      <c r="Z8" s="39"/>
      <c r="AA8" s="39"/>
      <c r="AB8" s="39"/>
      <c r="AC8" s="38"/>
      <c r="AD8" s="39"/>
      <c r="AE8" s="40"/>
      <c r="AF8" s="39"/>
      <c r="AG8" s="40"/>
      <c r="AH8" s="39"/>
      <c r="AI8" s="47">
        <f t="shared" si="0"/>
        <v>4.5161290322580649</v>
      </c>
      <c r="AJ8" s="41">
        <f>SUM(D8,E8,F8,G8,H8,I8,J8,K8,L8,M8,N8,O8,P8,Q8,R8,S8,T8,U8,V8,W8,X8,Y8,Z8,AA8,AB8,AC8,AD8,AE8,AF8,AG8,AH8)</f>
        <v>140</v>
      </c>
      <c r="AK8" s="42">
        <f>(AJ8/(AJ3+AJ4))*100</f>
        <v>9.7222222222222232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>
        <v>116</v>
      </c>
      <c r="AF9" s="2"/>
      <c r="AG9" s="23"/>
      <c r="AH9" s="2"/>
      <c r="AI9" s="43">
        <f t="shared" si="0"/>
        <v>3.7419354838709675</v>
      </c>
      <c r="AJ9" s="32">
        <f>SUM(D9,E9,F9,G9,H9,I9,J9,K9,L9,M9,N9,O9,P9,Q9,R9,S9,T9,U9,V9,W9,X9,Y9,Z9,AA9,AB9,AC9,AD9,AE9,AF9,AG9,AH9)</f>
        <v>116</v>
      </c>
      <c r="AK9" s="3">
        <f>(AJ9/(AJ3+AJ4))*100</f>
        <v>8.0555555555555554</v>
      </c>
    </row>
    <row r="10" spans="1:37" ht="18.95" customHeight="1" x14ac:dyDescent="0.3">
      <c r="A10" s="88"/>
      <c r="B10" s="90"/>
      <c r="C10" s="60" t="s">
        <v>29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7</v>
      </c>
      <c r="D11" s="21"/>
      <c r="E11" s="2"/>
      <c r="F11" s="2"/>
      <c r="G11" s="2"/>
      <c r="H11" s="2"/>
      <c r="I11" s="2"/>
      <c r="J11" s="22"/>
      <c r="K11" s="2"/>
      <c r="L11" s="2"/>
      <c r="M11" s="2"/>
      <c r="N11" s="2"/>
      <c r="O11" s="2"/>
      <c r="P11" s="2"/>
      <c r="Q11" s="2"/>
      <c r="R11" s="2"/>
      <c r="S11" s="2"/>
      <c r="T11" s="2">
        <v>164</v>
      </c>
      <c r="U11" s="2"/>
      <c r="V11" s="2"/>
      <c r="W11" s="2"/>
      <c r="X11" s="2"/>
      <c r="Y11" s="2"/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5.290322580645161</v>
      </c>
      <c r="AJ11" s="32">
        <f>SUM(D11,E11,F11,G11,H11,I11,J11,K11,L11,M11,N11,O11,P11,Q11,R11,S11,T11,U11,V11,W11,X11,Y11,Z11,AA11,AB11,AC11,AD11,AE11,AF11,AG11,AH11)</f>
        <v>164</v>
      </c>
      <c r="AK11" s="3">
        <f>(AJ11/(AJ3+AJ4))*100</f>
        <v>11.388888888888889</v>
      </c>
    </row>
    <row r="12" spans="1:37" ht="18.95" customHeight="1" x14ac:dyDescent="0.3">
      <c r="A12" s="88"/>
      <c r="B12" s="91" t="s">
        <v>4</v>
      </c>
      <c r="C12" s="62" t="s">
        <v>8</v>
      </c>
      <c r="D12" s="6"/>
      <c r="E12" s="6"/>
      <c r="F12" s="6">
        <v>77</v>
      </c>
      <c r="G12" s="6">
        <v>9</v>
      </c>
      <c r="H12" s="6"/>
      <c r="I12" s="6">
        <v>33</v>
      </c>
      <c r="J12" s="26"/>
      <c r="K12" s="6"/>
      <c r="L12" s="6"/>
      <c r="M12" s="6"/>
      <c r="N12" s="6"/>
      <c r="O12" s="6"/>
      <c r="P12" s="6"/>
      <c r="Q12" s="6">
        <v>5</v>
      </c>
      <c r="R12" s="6"/>
      <c r="S12" s="6"/>
      <c r="T12" s="6">
        <v>10</v>
      </c>
      <c r="U12" s="6">
        <v>20</v>
      </c>
      <c r="V12" s="6"/>
      <c r="W12" s="6">
        <v>23</v>
      </c>
      <c r="X12" s="6"/>
      <c r="Y12" s="6">
        <v>29</v>
      </c>
      <c r="Z12" s="6"/>
      <c r="AA12" s="6"/>
      <c r="AB12" s="6"/>
      <c r="AC12" s="27">
        <v>11</v>
      </c>
      <c r="AD12" s="6"/>
      <c r="AE12" s="26"/>
      <c r="AF12" s="6"/>
      <c r="AG12" s="26"/>
      <c r="AH12" s="6"/>
      <c r="AI12" s="45">
        <f t="shared" si="0"/>
        <v>7</v>
      </c>
      <c r="AJ12" s="34">
        <f>SUM(D12,E12,F12,G12,H12,I12,J12,K12,L12,M12,N12,O12,P12,Q12,R12,S12,T12,U12,V12,W12,X12,Y12,Z12,AA12,AB12,AC12,AD12,AE12,AF12,AG12,AH12)</f>
        <v>217</v>
      </c>
      <c r="AK12" s="7">
        <f>(AJ12/(AJ3+AJ4))*100</f>
        <v>15.069444444444443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</v>
      </c>
      <c r="AJ13" s="35">
        <f>SUM(D13,E13,F13,G13,H13,I13,J13,K13,L13,M13,N13,O13,P13,Q13,R13,S13,T13,U13,V13,W13,X13,Y13,Z13,AA13,AB13,AC13,AD13,AE13,AF13,AG13,AH13)</f>
        <v>0</v>
      </c>
      <c r="AK13" s="9">
        <f>(AJ13/(AJ3+AJ4))*100</f>
        <v>0</v>
      </c>
    </row>
    <row r="14" spans="1:37" ht="18.95" customHeight="1" x14ac:dyDescent="0.3">
      <c r="A14" s="88"/>
      <c r="B14" s="92"/>
      <c r="C14" s="56" t="s">
        <v>27</v>
      </c>
      <c r="D14" s="6"/>
      <c r="E14" s="6"/>
      <c r="F14" s="6"/>
      <c r="G14" s="6">
        <v>154</v>
      </c>
      <c r="H14" s="6"/>
      <c r="I14" s="6"/>
      <c r="J14" s="26"/>
      <c r="K14" s="6"/>
      <c r="L14" s="6"/>
      <c r="M14" s="6"/>
      <c r="N14" s="6"/>
      <c r="O14" s="6">
        <v>154</v>
      </c>
      <c r="P14" s="6"/>
      <c r="Q14" s="6"/>
      <c r="R14" s="6"/>
      <c r="S14" s="6"/>
      <c r="T14" s="6"/>
      <c r="U14" s="6"/>
      <c r="V14" s="6">
        <v>85</v>
      </c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12.67741935483871</v>
      </c>
      <c r="AJ14" s="34">
        <f t="shared" si="1"/>
        <v>393</v>
      </c>
      <c r="AK14" s="7">
        <f>(AJ14/(AJ3+AJ4))*100</f>
        <v>27.291666666666664</v>
      </c>
    </row>
    <row r="15" spans="1:37" ht="18.95" customHeight="1" x14ac:dyDescent="0.3">
      <c r="A15" s="88"/>
      <c r="B15" s="92"/>
      <c r="C15" s="68" t="s">
        <v>4</v>
      </c>
      <c r="D15" s="51"/>
      <c r="E15" s="51"/>
      <c r="F15" s="51"/>
      <c r="G15" s="51"/>
      <c r="H15" s="51"/>
      <c r="I15" s="51"/>
      <c r="J15" s="50">
        <v>39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>
        <v>39</v>
      </c>
      <c r="Y15" s="51"/>
      <c r="Z15" s="51"/>
      <c r="AA15" s="51"/>
      <c r="AB15" s="51"/>
      <c r="AC15" s="52"/>
      <c r="AD15" s="51"/>
      <c r="AE15" s="50"/>
      <c r="AF15" s="51"/>
      <c r="AG15" s="50"/>
      <c r="AH15" s="51"/>
      <c r="AI15" s="45">
        <f t="shared" si="0"/>
        <v>2.5161290322580645</v>
      </c>
      <c r="AJ15" s="34">
        <f>SUM(D15,E15,F15,G15,H15,I15,J15,K15,L15,M15,N15,O15,P15,Q15,R15,S15,T15,U15,V15,W15,X15,Y15,Z15,AA15,AB15,AC15,AD15,AE15,AF15,AG15,AH15)</f>
        <v>78</v>
      </c>
      <c r="AK15" s="7">
        <f>(AJ15/(AJ3+AJ4))*100</f>
        <v>5.416666666666667</v>
      </c>
    </row>
    <row r="16" spans="1:37" ht="18.399999999999999" customHeight="1" x14ac:dyDescent="0.3">
      <c r="A16" s="89"/>
      <c r="B16" s="69" t="s">
        <v>9</v>
      </c>
      <c r="C16" s="65"/>
      <c r="D16" s="80">
        <f>SUM(D5:H15)+218</f>
        <v>519</v>
      </c>
      <c r="E16" s="81"/>
      <c r="F16" s="81"/>
      <c r="G16" s="81"/>
      <c r="H16" s="82"/>
      <c r="I16" s="80">
        <f>SUM(I5:O15)</f>
        <v>324</v>
      </c>
      <c r="J16" s="81"/>
      <c r="K16" s="81"/>
      <c r="L16" s="81"/>
      <c r="M16" s="81"/>
      <c r="N16" s="81"/>
      <c r="O16" s="82"/>
      <c r="P16" s="80">
        <f>SUM(P5:V15)</f>
        <v>463</v>
      </c>
      <c r="Q16" s="81"/>
      <c r="R16" s="81"/>
      <c r="S16" s="81"/>
      <c r="T16" s="81"/>
      <c r="U16" s="81"/>
      <c r="V16" s="82"/>
      <c r="W16" s="80">
        <f>SUM(W5:AC15)</f>
        <v>406</v>
      </c>
      <c r="X16" s="81"/>
      <c r="Y16" s="81"/>
      <c r="Z16" s="81"/>
      <c r="AA16" s="81"/>
      <c r="AB16" s="81"/>
      <c r="AC16" s="82"/>
      <c r="AD16" s="80">
        <f>SUM(AD5:AG15)</f>
        <v>193</v>
      </c>
      <c r="AE16" s="81"/>
      <c r="AF16" s="81"/>
      <c r="AG16" s="82"/>
      <c r="AH16" s="66"/>
      <c r="AI16" s="53">
        <f>AJ16/31</f>
        <v>54.41935483870968</v>
      </c>
      <c r="AJ16" s="49">
        <f>SUM(AJ5,AJ6,AJ7,AJ8,AJ9,AJ10,AJ11,AJ12,AJ13,AJ14,AJ15)</f>
        <v>1687</v>
      </c>
      <c r="AK16" s="10">
        <f>SUM(AK5,AK6,AK7,AK8,AK9,AK10,AK11,AK12,AK13,AK14,AK15)</f>
        <v>117.15277777777779</v>
      </c>
    </row>
    <row r="17" spans="1:37" ht="18" customHeight="1" x14ac:dyDescent="0.3">
      <c r="A17" s="114" t="s">
        <v>25</v>
      </c>
      <c r="B17" s="121"/>
      <c r="C17" s="122"/>
      <c r="D17" s="116">
        <v>-396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3"/>
    </row>
    <row r="18" spans="1:37" ht="18" customHeight="1" x14ac:dyDescent="0.3">
      <c r="A18" s="109" t="s">
        <v>19</v>
      </c>
      <c r="B18" s="109"/>
      <c r="C18" s="110"/>
      <c r="D18" s="120">
        <f>(AJ3+AJ4)-AJ16</f>
        <v>-247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-17.152777777777779</v>
      </c>
    </row>
    <row r="19" spans="1:37" ht="18" customHeight="1" x14ac:dyDescent="0.3">
      <c r="A19" s="108" t="s">
        <v>26</v>
      </c>
      <c r="B19" s="109"/>
      <c r="C19" s="110"/>
      <c r="D19" s="111">
        <f>(AJ3+AJ4+D17)-AJ16</f>
        <v>-643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28</v>
      </c>
    </row>
  </sheetData>
  <mergeCells count="21">
    <mergeCell ref="A1:C2"/>
    <mergeCell ref="AI1:AI2"/>
    <mergeCell ref="AJ1:AJ2"/>
    <mergeCell ref="AK1:AK2"/>
    <mergeCell ref="A3:B4"/>
    <mergeCell ref="AI3:AI4"/>
    <mergeCell ref="AK3:AK4"/>
    <mergeCell ref="A19:C19"/>
    <mergeCell ref="D19:AJ19"/>
    <mergeCell ref="D16:H16"/>
    <mergeCell ref="I16:O16"/>
    <mergeCell ref="P16:V16"/>
    <mergeCell ref="W16:AC16"/>
    <mergeCell ref="AD16:AG16"/>
    <mergeCell ref="A17:C17"/>
    <mergeCell ref="D17:AJ17"/>
    <mergeCell ref="A18:C18"/>
    <mergeCell ref="D18:AJ18"/>
    <mergeCell ref="A5:A16"/>
    <mergeCell ref="B5:B11"/>
    <mergeCell ref="B12:B1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12</v>
      </c>
      <c r="E1" s="36" t="s">
        <v>11</v>
      </c>
      <c r="F1" s="37" t="s">
        <v>10</v>
      </c>
      <c r="G1" s="55" t="s">
        <v>16</v>
      </c>
      <c r="H1" s="36" t="s">
        <v>15</v>
      </c>
      <c r="I1" s="37" t="s">
        <v>14</v>
      </c>
      <c r="J1" s="36" t="s">
        <v>13</v>
      </c>
      <c r="K1" s="36" t="s">
        <v>12</v>
      </c>
      <c r="L1" s="36" t="s">
        <v>11</v>
      </c>
      <c r="M1" s="37" t="s">
        <v>10</v>
      </c>
      <c r="N1" s="55" t="s">
        <v>16</v>
      </c>
      <c r="O1" s="36" t="s">
        <v>15</v>
      </c>
      <c r="P1" s="37" t="s">
        <v>14</v>
      </c>
      <c r="Q1" s="36" t="s">
        <v>13</v>
      </c>
      <c r="R1" s="36" t="s">
        <v>12</v>
      </c>
      <c r="S1" s="36" t="s">
        <v>11</v>
      </c>
      <c r="T1" s="37" t="s">
        <v>10</v>
      </c>
      <c r="U1" s="55" t="s">
        <v>16</v>
      </c>
      <c r="V1" s="36" t="s">
        <v>15</v>
      </c>
      <c r="W1" s="37" t="s">
        <v>14</v>
      </c>
      <c r="X1" s="36" t="s">
        <v>13</v>
      </c>
      <c r="Y1" s="36" t="s">
        <v>12</v>
      </c>
      <c r="Z1" s="36" t="s">
        <v>11</v>
      </c>
      <c r="AA1" s="37" t="s">
        <v>10</v>
      </c>
      <c r="AB1" s="55" t="s">
        <v>16</v>
      </c>
      <c r="AC1" s="36" t="s">
        <v>15</v>
      </c>
      <c r="AD1" s="37" t="s">
        <v>14</v>
      </c>
      <c r="AE1" s="36" t="s">
        <v>13</v>
      </c>
      <c r="AF1" s="36" t="s">
        <v>12</v>
      </c>
      <c r="AG1" s="36" t="s">
        <v>11</v>
      </c>
      <c r="AH1" s="37" t="s">
        <v>10</v>
      </c>
      <c r="AI1" s="94" t="s">
        <v>22</v>
      </c>
      <c r="AJ1" s="96" t="s">
        <v>17</v>
      </c>
      <c r="AK1" s="98" t="s">
        <v>18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>
        <v>481</v>
      </c>
      <c r="I3" s="18"/>
      <c r="J3" s="16">
        <v>297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>
        <v>385</v>
      </c>
      <c r="Y3" s="15">
        <v>193</v>
      </c>
      <c r="Z3" s="15"/>
      <c r="AA3" s="15"/>
      <c r="AB3" s="15"/>
      <c r="AC3" s="14"/>
      <c r="AD3" s="15"/>
      <c r="AE3" s="17"/>
      <c r="AF3" s="15"/>
      <c r="AG3" s="17"/>
      <c r="AH3" s="15"/>
      <c r="AI3" s="104">
        <f>(AJ3+AJ4)/31</f>
        <v>64.483870967741936</v>
      </c>
      <c r="AJ3" s="48">
        <f>SUM(D3:AH3)</f>
        <v>1356</v>
      </c>
      <c r="AK3" s="106">
        <v>100</v>
      </c>
    </row>
    <row r="4" spans="1:37" ht="18.95" customHeight="1" x14ac:dyDescent="0.3">
      <c r="A4" s="102"/>
      <c r="B4" s="103"/>
      <c r="C4" s="58" t="s">
        <v>24</v>
      </c>
      <c r="D4" s="18"/>
      <c r="E4" s="18"/>
      <c r="F4" s="18">
        <v>192</v>
      </c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>
        <v>46</v>
      </c>
      <c r="T4" s="18">
        <v>212</v>
      </c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>
        <v>193</v>
      </c>
      <c r="AH4" s="18"/>
      <c r="AI4" s="105"/>
      <c r="AJ4" s="48">
        <f>SUM(D4:AH4)</f>
        <v>643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23</v>
      </c>
      <c r="D5" s="2">
        <v>47</v>
      </c>
      <c r="E5" s="2"/>
      <c r="F5" s="2">
        <v>6</v>
      </c>
      <c r="G5" s="2"/>
      <c r="H5" s="2">
        <v>30</v>
      </c>
      <c r="I5" s="2">
        <v>57</v>
      </c>
      <c r="J5" s="22">
        <v>10</v>
      </c>
      <c r="K5" s="2">
        <v>55</v>
      </c>
      <c r="L5" s="2">
        <v>71</v>
      </c>
      <c r="M5" s="2">
        <v>31</v>
      </c>
      <c r="N5" s="2"/>
      <c r="O5" s="2">
        <v>3</v>
      </c>
      <c r="P5" s="2">
        <v>24</v>
      </c>
      <c r="Q5" s="2"/>
      <c r="R5" s="2"/>
      <c r="S5" s="2"/>
      <c r="T5" s="2"/>
      <c r="U5" s="2">
        <v>20</v>
      </c>
      <c r="V5" s="2"/>
      <c r="W5" s="2">
        <v>20</v>
      </c>
      <c r="X5" s="2"/>
      <c r="Y5" s="2">
        <v>48</v>
      </c>
      <c r="Z5" s="2"/>
      <c r="AA5" s="2"/>
      <c r="AB5" s="2">
        <v>7</v>
      </c>
      <c r="AC5" s="21">
        <v>30</v>
      </c>
      <c r="AD5" s="2">
        <v>28</v>
      </c>
      <c r="AE5" s="23">
        <v>31</v>
      </c>
      <c r="AF5" s="2"/>
      <c r="AG5" s="23">
        <v>61</v>
      </c>
      <c r="AH5" s="2">
        <v>35</v>
      </c>
      <c r="AI5" s="43">
        <f t="shared" ref="AI5:AI15" si="0">AJ5/31</f>
        <v>19.806451612903224</v>
      </c>
      <c r="AJ5" s="32">
        <f>SUM(D5,E5,F5,G5,H5,I5,J5,K5,L5,M5,N5,O5,P5,Q5,R5,S5,T5,U5,V5,W5,X5,Y5,Z5,AA5,AB5,AC5,AD5,AE5,AF5,AG5,AH5)</f>
        <v>614</v>
      </c>
      <c r="AK5" s="3">
        <f>(AJ5/(AJ3+AJ4))*100</f>
        <v>30.715357678839421</v>
      </c>
    </row>
    <row r="6" spans="1:37" ht="18.95" customHeight="1" x14ac:dyDescent="0.3">
      <c r="A6" s="88"/>
      <c r="B6" s="90"/>
      <c r="C6" s="60" t="s">
        <v>6</v>
      </c>
      <c r="D6" s="4">
        <v>6</v>
      </c>
      <c r="E6" s="4">
        <v>5</v>
      </c>
      <c r="F6" s="4">
        <v>5</v>
      </c>
      <c r="G6" s="4">
        <v>5</v>
      </c>
      <c r="H6" s="4">
        <v>15</v>
      </c>
      <c r="I6" s="4">
        <v>19</v>
      </c>
      <c r="J6" s="24">
        <v>3</v>
      </c>
      <c r="K6" s="4">
        <v>19</v>
      </c>
      <c r="L6" s="4">
        <v>5</v>
      </c>
      <c r="M6" s="4"/>
      <c r="N6" s="4">
        <v>2</v>
      </c>
      <c r="O6" s="4">
        <v>4</v>
      </c>
      <c r="P6" s="4">
        <v>5</v>
      </c>
      <c r="Q6" s="4"/>
      <c r="R6" s="4">
        <v>7</v>
      </c>
      <c r="S6" s="4"/>
      <c r="T6" s="4">
        <v>23</v>
      </c>
      <c r="U6" s="4">
        <v>16</v>
      </c>
      <c r="V6" s="4">
        <v>2</v>
      </c>
      <c r="W6" s="4">
        <v>5</v>
      </c>
      <c r="X6" s="4">
        <v>2</v>
      </c>
      <c r="Y6" s="4">
        <v>20</v>
      </c>
      <c r="Z6" s="4">
        <v>5</v>
      </c>
      <c r="AA6" s="4">
        <v>5</v>
      </c>
      <c r="AB6" s="4">
        <v>5</v>
      </c>
      <c r="AC6" s="25">
        <v>2</v>
      </c>
      <c r="AD6" s="4"/>
      <c r="AE6" s="24">
        <v>2</v>
      </c>
      <c r="AF6" s="4">
        <v>24</v>
      </c>
      <c r="AG6" s="24">
        <v>26</v>
      </c>
      <c r="AH6" s="4"/>
      <c r="AI6" s="44">
        <f t="shared" si="0"/>
        <v>7.645161290322581</v>
      </c>
      <c r="AJ6" s="33">
        <f>SUM(D6,E6,F6,G6,H6,I6,J6,K6,L6,M6,N6,O6,P6,Q6,R6,S6,T6,U6,V6,W6,X6,Y6,Z6,AA6,AB6,AC6,AD6,AE6,AF6,AG6,AH6)</f>
        <v>237</v>
      </c>
      <c r="AK6" s="5">
        <f>(AJ6/(AJ3+AJ4))*100</f>
        <v>11.855927963981991</v>
      </c>
    </row>
    <row r="7" spans="1:37" ht="18.95" customHeight="1" x14ac:dyDescent="0.3">
      <c r="A7" s="88"/>
      <c r="B7" s="90"/>
      <c r="C7" s="60" t="s">
        <v>20</v>
      </c>
      <c r="D7" s="4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8"/>
      <c r="B8" s="90"/>
      <c r="C8" s="61" t="s">
        <v>21</v>
      </c>
      <c r="D8" s="39"/>
      <c r="E8" s="39"/>
      <c r="F8" s="39"/>
      <c r="G8" s="39"/>
      <c r="H8" s="39"/>
      <c r="I8" s="39"/>
      <c r="J8" s="40"/>
      <c r="K8" s="39"/>
      <c r="L8" s="39"/>
      <c r="M8" s="39"/>
      <c r="N8" s="39">
        <v>56</v>
      </c>
      <c r="O8" s="39"/>
      <c r="P8" s="39"/>
      <c r="Q8" s="39"/>
      <c r="R8" s="39"/>
      <c r="S8" s="39"/>
      <c r="T8" s="39"/>
      <c r="U8" s="39"/>
      <c r="V8" s="39"/>
      <c r="W8" s="39">
        <v>14</v>
      </c>
      <c r="X8" s="39"/>
      <c r="Y8" s="39"/>
      <c r="Z8" s="39"/>
      <c r="AA8" s="39"/>
      <c r="AB8" s="39"/>
      <c r="AC8" s="38">
        <v>19</v>
      </c>
      <c r="AD8" s="39"/>
      <c r="AE8" s="40"/>
      <c r="AF8" s="39"/>
      <c r="AG8" s="40"/>
      <c r="AH8" s="39"/>
      <c r="AI8" s="47">
        <f t="shared" si="0"/>
        <v>2.870967741935484</v>
      </c>
      <c r="AJ8" s="41">
        <f>SUM(D8,E8,F8,G8,H8,I8,J8,K8,L8,M8,N8,O8,P8,Q8,R8,S8,T8,U8,V8,W8,X8,Y8,Z8,AA8,AB8,AC8,AD8,AE8,AF8,AG8,AH8)</f>
        <v>89</v>
      </c>
      <c r="AK8" s="42">
        <f>(AJ8/(AJ3+AJ4))*100</f>
        <v>4.4522261130565282</v>
      </c>
    </row>
    <row r="9" spans="1:37" ht="18.95" customHeight="1" x14ac:dyDescent="0.3">
      <c r="A9" s="88"/>
      <c r="B9" s="90"/>
      <c r="C9" s="59" t="s">
        <v>5</v>
      </c>
      <c r="D9" s="2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>
        <v>116</v>
      </c>
      <c r="AF9" s="2"/>
      <c r="AG9" s="23"/>
      <c r="AH9" s="2"/>
      <c r="AI9" s="43">
        <f t="shared" si="0"/>
        <v>3.7419354838709675</v>
      </c>
      <c r="AJ9" s="32">
        <f>SUM(D9,E9,F9,G9,H9,I9,J9,K9,L9,M9,N9,O9,P9,Q9,R9,S9,T9,U9,V9,W9,X9,Y9,Z9,AA9,AB9,AC9,AD9,AE9,AF9,AG9,AH9)</f>
        <v>116</v>
      </c>
      <c r="AK9" s="3">
        <f>(AJ9/(AJ3+AJ4))*100</f>
        <v>5.8029014507253622</v>
      </c>
    </row>
    <row r="10" spans="1:37" ht="18.95" customHeight="1" x14ac:dyDescent="0.3">
      <c r="A10" s="88"/>
      <c r="B10" s="90"/>
      <c r="C10" s="60" t="s">
        <v>29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7</v>
      </c>
      <c r="D11" s="2"/>
      <c r="E11" s="2"/>
      <c r="F11" s="2"/>
      <c r="G11" s="2"/>
      <c r="H11" s="2"/>
      <c r="I11" s="2"/>
      <c r="J11" s="22"/>
      <c r="K11" s="2"/>
      <c r="L11" s="2"/>
      <c r="M11" s="2"/>
      <c r="N11" s="2"/>
      <c r="O11" s="2">
        <v>8</v>
      </c>
      <c r="P11" s="2"/>
      <c r="Q11" s="2"/>
      <c r="R11" s="2"/>
      <c r="S11" s="2"/>
      <c r="T11" s="2"/>
      <c r="U11" s="2">
        <v>35</v>
      </c>
      <c r="V11" s="2"/>
      <c r="W11" s="2"/>
      <c r="X11" s="2"/>
      <c r="Y11" s="2"/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1.3870967741935485</v>
      </c>
      <c r="AJ11" s="32">
        <f>SUM(D11,E11,F11,G11,H11,I11,J11,K11,L11,M11,N11,O11,P11,Q11,R11,S11,T11,U11,V11,W11,X11,Y11,Z11,AA11,AB11,AC11,AD11,AE11,AF11,AG11,AH11)</f>
        <v>43</v>
      </c>
      <c r="AK11" s="3">
        <f>(AJ11/(AJ3+AJ4))*100</f>
        <v>2.1510755377688846</v>
      </c>
    </row>
    <row r="12" spans="1:37" ht="18.95" customHeight="1" x14ac:dyDescent="0.3">
      <c r="A12" s="88"/>
      <c r="B12" s="91" t="s">
        <v>4</v>
      </c>
      <c r="C12" s="62" t="s">
        <v>8</v>
      </c>
      <c r="D12" s="6">
        <v>15</v>
      </c>
      <c r="E12" s="6"/>
      <c r="F12" s="6"/>
      <c r="G12" s="6"/>
      <c r="H12" s="6">
        <v>50</v>
      </c>
      <c r="I12" s="6"/>
      <c r="J12" s="26">
        <v>15</v>
      </c>
      <c r="K12" s="6"/>
      <c r="L12" s="6"/>
      <c r="M12" s="6"/>
      <c r="N12" s="6">
        <v>16</v>
      </c>
      <c r="O12" s="6"/>
      <c r="P12" s="6"/>
      <c r="Q12" s="6">
        <v>64</v>
      </c>
      <c r="R12" s="6">
        <v>46</v>
      </c>
      <c r="S12" s="6">
        <v>31</v>
      </c>
      <c r="T12" s="6">
        <v>29</v>
      </c>
      <c r="U12" s="6"/>
      <c r="V12" s="6">
        <v>13</v>
      </c>
      <c r="W12" s="6"/>
      <c r="X12" s="6">
        <v>23</v>
      </c>
      <c r="Y12" s="6"/>
      <c r="Z12" s="6"/>
      <c r="AA12" s="6"/>
      <c r="AB12" s="6">
        <v>12</v>
      </c>
      <c r="AC12" s="27"/>
      <c r="AD12" s="6"/>
      <c r="AE12" s="26"/>
      <c r="AF12" s="6">
        <v>35</v>
      </c>
      <c r="AG12" s="26"/>
      <c r="AH12" s="6"/>
      <c r="AI12" s="45">
        <f t="shared" si="0"/>
        <v>11.258064516129032</v>
      </c>
      <c r="AJ12" s="34">
        <f>SUM(D12,E12,F12,G12,H12,I12,J12,K12,L12,M12,N12,O12,P12,Q12,R12,S12,T12,U12,V12,W12,X12,Y12,Z12,AA12,AB12,AC12,AD12,AE12,AF12,AG12,AH12)</f>
        <v>349</v>
      </c>
      <c r="AK12" s="7">
        <f>(AJ12/(AJ3+AJ4))*100</f>
        <v>17.458729364682341</v>
      </c>
    </row>
    <row r="13" spans="1:37" ht="18.95" customHeight="1" x14ac:dyDescent="0.3">
      <c r="A13" s="88"/>
      <c r="B13" s="92"/>
      <c r="C13" s="62" t="s">
        <v>30</v>
      </c>
      <c r="D13" s="8"/>
      <c r="E13" s="8"/>
      <c r="F13" s="8"/>
      <c r="G13" s="8"/>
      <c r="H13" s="8">
        <v>18</v>
      </c>
      <c r="I13" s="8"/>
      <c r="J13" s="29"/>
      <c r="K13" s="8"/>
      <c r="L13" s="8"/>
      <c r="M13" s="8"/>
      <c r="N13" s="8"/>
      <c r="O13" s="8"/>
      <c r="P13" s="8"/>
      <c r="Q13" s="8">
        <v>14</v>
      </c>
      <c r="R13" s="8"/>
      <c r="S13" s="8">
        <v>20</v>
      </c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1.6774193548387097</v>
      </c>
      <c r="AJ13" s="35">
        <f>SUM(D13,E13,F13,G13,H13,I13,J13,K13,L13,M13,N13,O13,P13,Q13,R13,S13,T13,U13,V13,W13,X13,Y13,Z13,AA13,AB13,AC13,AD13,AE13,AF13,AG13,AH13)</f>
        <v>52</v>
      </c>
      <c r="AK13" s="9">
        <f>(AJ13/(AJ3+AJ4))*100</f>
        <v>2.6013006503251628</v>
      </c>
    </row>
    <row r="14" spans="1:37" ht="18.95" customHeight="1" x14ac:dyDescent="0.3">
      <c r="A14" s="88"/>
      <c r="B14" s="92"/>
      <c r="C14" s="56" t="s">
        <v>27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>
        <v>54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197</v>
      </c>
      <c r="AB14" s="6"/>
      <c r="AC14" s="27"/>
      <c r="AD14" s="6"/>
      <c r="AE14" s="26"/>
      <c r="AF14" s="6"/>
      <c r="AG14" s="26"/>
      <c r="AH14" s="6"/>
      <c r="AI14" s="45">
        <f t="shared" si="0"/>
        <v>8.0967741935483879</v>
      </c>
      <c r="AJ14" s="34">
        <f t="shared" si="1"/>
        <v>251</v>
      </c>
      <c r="AK14" s="7">
        <f>(AJ14/(AJ3+AJ4))*100</f>
        <v>12.556278139069535</v>
      </c>
    </row>
    <row r="15" spans="1:37" ht="18.95" customHeight="1" x14ac:dyDescent="0.3">
      <c r="A15" s="88"/>
      <c r="B15" s="92"/>
      <c r="C15" s="68" t="s">
        <v>4</v>
      </c>
      <c r="D15" s="51"/>
      <c r="E15" s="51"/>
      <c r="F15" s="51"/>
      <c r="G15" s="51"/>
      <c r="H15" s="51"/>
      <c r="I15" s="51"/>
      <c r="J15" s="50">
        <v>39</v>
      </c>
      <c r="K15" s="51"/>
      <c r="L15" s="51"/>
      <c r="M15" s="51"/>
      <c r="N15" s="51"/>
      <c r="O15" s="51"/>
      <c r="P15" s="51"/>
      <c r="Q15" s="51"/>
      <c r="R15" s="51">
        <v>96</v>
      </c>
      <c r="S15" s="51"/>
      <c r="T15" s="51">
        <v>39</v>
      </c>
      <c r="U15" s="51"/>
      <c r="V15" s="51"/>
      <c r="W15" s="51"/>
      <c r="X15" s="51"/>
      <c r="Y15" s="51">
        <v>77</v>
      </c>
      <c r="Z15" s="51"/>
      <c r="AA15" s="51"/>
      <c r="AB15" s="51"/>
      <c r="AC15" s="52">
        <v>38</v>
      </c>
      <c r="AD15" s="51"/>
      <c r="AE15" s="50"/>
      <c r="AF15" s="51">
        <v>32</v>
      </c>
      <c r="AG15" s="50"/>
      <c r="AH15" s="51"/>
      <c r="AI15" s="45">
        <f t="shared" si="0"/>
        <v>10.35483870967742</v>
      </c>
      <c r="AJ15" s="34">
        <f>SUM(D15,E15,F15,G15,H15,I15,J15,K15,L15,M15,N15,O15,P15,Q15,R15,S15,T15,U15,V15,W15,X15,Y15,Z15,AA15,AB15,AC15,AD15,AE15,AF15,AG15,AH15)</f>
        <v>321</v>
      </c>
      <c r="AK15" s="7">
        <f>(AJ15/(AJ3+AJ4))*100</f>
        <v>16.058029014507252</v>
      </c>
    </row>
    <row r="16" spans="1:37" ht="18.399999999999999" customHeight="1" x14ac:dyDescent="0.3">
      <c r="A16" s="89"/>
      <c r="B16" s="69" t="s">
        <v>9</v>
      </c>
      <c r="C16" s="65"/>
      <c r="D16" s="80">
        <f>SUM(D5:F15)+193</f>
        <v>277</v>
      </c>
      <c r="E16" s="81"/>
      <c r="F16" s="82"/>
      <c r="G16" s="80">
        <f>SUM(G5:M15)</f>
        <v>442</v>
      </c>
      <c r="H16" s="81"/>
      <c r="I16" s="81"/>
      <c r="J16" s="81"/>
      <c r="K16" s="81"/>
      <c r="L16" s="81"/>
      <c r="M16" s="82"/>
      <c r="N16" s="80">
        <f>SUM(N5:T15)</f>
        <v>541</v>
      </c>
      <c r="O16" s="81"/>
      <c r="P16" s="81"/>
      <c r="Q16" s="81"/>
      <c r="R16" s="81"/>
      <c r="S16" s="81"/>
      <c r="T16" s="82"/>
      <c r="U16" s="80">
        <f>SUM(U5:AA15)</f>
        <v>502</v>
      </c>
      <c r="V16" s="81"/>
      <c r="W16" s="81"/>
      <c r="X16" s="81"/>
      <c r="Y16" s="81"/>
      <c r="Z16" s="81"/>
      <c r="AA16" s="82"/>
      <c r="AB16" s="80">
        <f>SUM(AB5:AH15)</f>
        <v>503</v>
      </c>
      <c r="AC16" s="81"/>
      <c r="AD16" s="81"/>
      <c r="AE16" s="81"/>
      <c r="AF16" s="81"/>
      <c r="AG16" s="81"/>
      <c r="AH16" s="82"/>
      <c r="AI16" s="53">
        <f>AJ16/31</f>
        <v>66.838709677419359</v>
      </c>
      <c r="AJ16" s="49">
        <f>SUM(AJ5,AJ6,AJ7,AJ8,AJ9,AJ10,AJ11,AJ12,AJ13,AJ14,AJ15)</f>
        <v>2072</v>
      </c>
      <c r="AK16" s="10">
        <f>SUM(AK5,AK6,AK7,AK8,AK9,AK10,AK11,AK12,AK13,AK14,AK15)</f>
        <v>103.65182591295647</v>
      </c>
    </row>
    <row r="17" spans="1:37" ht="18" customHeight="1" x14ac:dyDescent="0.3">
      <c r="A17" s="114" t="s">
        <v>25</v>
      </c>
      <c r="B17" s="121"/>
      <c r="C17" s="122"/>
      <c r="D17" s="116">
        <v>-643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4"/>
    </row>
    <row r="18" spans="1:37" ht="18" customHeight="1" x14ac:dyDescent="0.3">
      <c r="A18" s="109" t="s">
        <v>19</v>
      </c>
      <c r="B18" s="109"/>
      <c r="C18" s="110"/>
      <c r="D18" s="120">
        <f>(AJ3+AJ4)-AJ16</f>
        <v>-73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-3.6518259129564781</v>
      </c>
    </row>
    <row r="19" spans="1:37" ht="18" customHeight="1" x14ac:dyDescent="0.3">
      <c r="A19" s="108" t="s">
        <v>26</v>
      </c>
      <c r="B19" s="109"/>
      <c r="C19" s="110"/>
      <c r="D19" s="111">
        <f>(AJ3+AJ4+D17)-AJ16</f>
        <v>-716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28</v>
      </c>
    </row>
  </sheetData>
  <mergeCells count="21">
    <mergeCell ref="A1:C2"/>
    <mergeCell ref="AI1:AI2"/>
    <mergeCell ref="AJ1:AJ2"/>
    <mergeCell ref="AK1:AK2"/>
    <mergeCell ref="A3:B4"/>
    <mergeCell ref="AI3:AI4"/>
    <mergeCell ref="AK3:AK4"/>
    <mergeCell ref="A19:C19"/>
    <mergeCell ref="D19:AJ19"/>
    <mergeCell ref="D16:F16"/>
    <mergeCell ref="G16:M16"/>
    <mergeCell ref="N16:T16"/>
    <mergeCell ref="U16:AA16"/>
    <mergeCell ref="AB16:AH16"/>
    <mergeCell ref="A17:C17"/>
    <mergeCell ref="D17:AJ17"/>
    <mergeCell ref="A18:C18"/>
    <mergeCell ref="D18:AJ18"/>
    <mergeCell ref="A5:A16"/>
    <mergeCell ref="B5:B11"/>
    <mergeCell ref="B12:B1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55" t="s">
        <v>16</v>
      </c>
      <c r="E1" s="36" t="s">
        <v>15</v>
      </c>
      <c r="F1" s="37" t="s">
        <v>14</v>
      </c>
      <c r="G1" s="36" t="s">
        <v>13</v>
      </c>
      <c r="H1" s="36" t="s">
        <v>12</v>
      </c>
      <c r="I1" s="36" t="s">
        <v>11</v>
      </c>
      <c r="J1" s="37" t="s">
        <v>10</v>
      </c>
      <c r="K1" s="55" t="s">
        <v>16</v>
      </c>
      <c r="L1" s="36" t="s">
        <v>15</v>
      </c>
      <c r="M1" s="37" t="s">
        <v>14</v>
      </c>
      <c r="N1" s="36" t="s">
        <v>13</v>
      </c>
      <c r="O1" s="36" t="s">
        <v>12</v>
      </c>
      <c r="P1" s="36" t="s">
        <v>11</v>
      </c>
      <c r="Q1" s="37" t="s">
        <v>10</v>
      </c>
      <c r="R1" s="55" t="s">
        <v>16</v>
      </c>
      <c r="S1" s="36" t="s">
        <v>15</v>
      </c>
      <c r="T1" s="37" t="s">
        <v>14</v>
      </c>
      <c r="U1" s="36" t="s">
        <v>13</v>
      </c>
      <c r="V1" s="36" t="s">
        <v>12</v>
      </c>
      <c r="W1" s="36" t="s">
        <v>11</v>
      </c>
      <c r="X1" s="37" t="s">
        <v>10</v>
      </c>
      <c r="Y1" s="55" t="s">
        <v>16</v>
      </c>
      <c r="Z1" s="36" t="s">
        <v>15</v>
      </c>
      <c r="AA1" s="37" t="s">
        <v>14</v>
      </c>
      <c r="AB1" s="36" t="s">
        <v>13</v>
      </c>
      <c r="AC1" s="36" t="s">
        <v>12</v>
      </c>
      <c r="AD1" s="36" t="s">
        <v>11</v>
      </c>
      <c r="AE1" s="37" t="s">
        <v>10</v>
      </c>
      <c r="AF1" s="55" t="s">
        <v>16</v>
      </c>
      <c r="AG1" s="36" t="s">
        <v>15</v>
      </c>
      <c r="AH1" s="37" t="s">
        <v>14</v>
      </c>
      <c r="AI1" s="94" t="s">
        <v>22</v>
      </c>
      <c r="AJ1" s="96" t="s">
        <v>17</v>
      </c>
      <c r="AK1" s="98" t="s">
        <v>18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>
        <v>241</v>
      </c>
      <c r="H3" s="15">
        <v>3169</v>
      </c>
      <c r="I3" s="18"/>
      <c r="J3" s="16"/>
      <c r="K3" s="15"/>
      <c r="L3" s="15"/>
      <c r="M3" s="15"/>
      <c r="N3" s="15"/>
      <c r="O3" s="15"/>
      <c r="P3" s="15"/>
      <c r="Q3" s="15"/>
      <c r="R3" s="15"/>
      <c r="S3" s="15">
        <v>2739</v>
      </c>
      <c r="T3" s="15"/>
      <c r="U3" s="15"/>
      <c r="V3" s="15"/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4">
        <f>(AJ3+AJ4)/31</f>
        <v>226.80645161290323</v>
      </c>
      <c r="AJ3" s="48">
        <f>SUM(D3:AH3)</f>
        <v>6149</v>
      </c>
      <c r="AK3" s="106">
        <v>100</v>
      </c>
    </row>
    <row r="4" spans="1:37" ht="18.95" customHeight="1" x14ac:dyDescent="0.3">
      <c r="A4" s="102"/>
      <c r="B4" s="103"/>
      <c r="C4" s="58" t="s">
        <v>24</v>
      </c>
      <c r="D4" s="18"/>
      <c r="E4" s="18"/>
      <c r="F4" s="18"/>
      <c r="G4" s="18"/>
      <c r="H4" s="18">
        <v>231</v>
      </c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>
        <v>231</v>
      </c>
      <c r="X4" s="18"/>
      <c r="Y4" s="18"/>
      <c r="Z4" s="18"/>
      <c r="AA4" s="18"/>
      <c r="AB4" s="18"/>
      <c r="AC4" s="20"/>
      <c r="AD4" s="18"/>
      <c r="AE4" s="19">
        <v>420</v>
      </c>
      <c r="AF4" s="18"/>
      <c r="AG4" s="19"/>
      <c r="AH4" s="18"/>
      <c r="AI4" s="105"/>
      <c r="AJ4" s="48">
        <f>SUM(D4:AH4)</f>
        <v>882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23</v>
      </c>
      <c r="D5" s="2"/>
      <c r="E5" s="2">
        <v>4</v>
      </c>
      <c r="F5" s="2"/>
      <c r="G5" s="2">
        <v>48</v>
      </c>
      <c r="H5" s="2"/>
      <c r="I5" s="2"/>
      <c r="J5" s="22"/>
      <c r="K5" s="2">
        <v>71</v>
      </c>
      <c r="L5" s="2"/>
      <c r="M5" s="2">
        <v>43</v>
      </c>
      <c r="N5" s="2">
        <v>22</v>
      </c>
      <c r="O5" s="2"/>
      <c r="P5" s="2">
        <v>24</v>
      </c>
      <c r="Q5" s="2">
        <v>38</v>
      </c>
      <c r="R5" s="2"/>
      <c r="S5" s="2">
        <v>38</v>
      </c>
      <c r="T5" s="2">
        <v>6</v>
      </c>
      <c r="U5" s="2">
        <v>8</v>
      </c>
      <c r="V5" s="2"/>
      <c r="W5" s="2"/>
      <c r="X5" s="2">
        <v>19</v>
      </c>
      <c r="Y5" s="2"/>
      <c r="Z5" s="2">
        <v>45</v>
      </c>
      <c r="AA5" s="2">
        <v>58</v>
      </c>
      <c r="AB5" s="2"/>
      <c r="AC5" s="21"/>
      <c r="AD5" s="2"/>
      <c r="AE5" s="23"/>
      <c r="AF5" s="2">
        <v>40</v>
      </c>
      <c r="AG5" s="23"/>
      <c r="AH5" s="2"/>
      <c r="AI5" s="43">
        <f t="shared" ref="AI5:AI15" si="0">AJ5/31</f>
        <v>14.96774193548387</v>
      </c>
      <c r="AJ5" s="32">
        <f>SUM(D5,E5,F5,G5,H5,I5,J5,K5,L5,M5,N5,O5,P5,Q5,R5,S5,T5,U5,V5,W5,X5,Y5,Z5,AA5,AB5,AC5,AD5,AE5,AF5,AG5,AH5)</f>
        <v>464</v>
      </c>
      <c r="AK5" s="3">
        <f>(AJ5/(AJ3+AJ4))*100</f>
        <v>6.5993457545157161</v>
      </c>
    </row>
    <row r="6" spans="1:37" ht="18.95" customHeight="1" x14ac:dyDescent="0.3">
      <c r="A6" s="88"/>
      <c r="B6" s="90"/>
      <c r="C6" s="60" t="s">
        <v>6</v>
      </c>
      <c r="D6" s="4">
        <v>19</v>
      </c>
      <c r="E6" s="4">
        <v>5</v>
      </c>
      <c r="F6" s="4"/>
      <c r="G6" s="4">
        <v>19</v>
      </c>
      <c r="H6" s="4">
        <v>2</v>
      </c>
      <c r="I6" s="4"/>
      <c r="J6" s="24">
        <v>5</v>
      </c>
      <c r="K6" s="4"/>
      <c r="L6" s="4">
        <v>44</v>
      </c>
      <c r="M6" s="4">
        <v>2</v>
      </c>
      <c r="N6" s="4">
        <v>8</v>
      </c>
      <c r="O6" s="4">
        <v>15</v>
      </c>
      <c r="P6" s="4"/>
      <c r="Q6" s="4"/>
      <c r="R6" s="4">
        <v>11</v>
      </c>
      <c r="S6" s="4">
        <v>5</v>
      </c>
      <c r="T6" s="4"/>
      <c r="U6" s="4"/>
      <c r="V6" s="4">
        <v>19</v>
      </c>
      <c r="W6" s="4">
        <v>28</v>
      </c>
      <c r="X6" s="4">
        <v>12</v>
      </c>
      <c r="Y6" s="4"/>
      <c r="Z6" s="4"/>
      <c r="AA6" s="4">
        <v>5</v>
      </c>
      <c r="AB6" s="4">
        <v>10</v>
      </c>
      <c r="AC6" s="25">
        <v>10</v>
      </c>
      <c r="AD6" s="4">
        <v>25</v>
      </c>
      <c r="AE6" s="24"/>
      <c r="AF6" s="4">
        <v>5</v>
      </c>
      <c r="AG6" s="24"/>
      <c r="AH6" s="4"/>
      <c r="AI6" s="44">
        <f t="shared" si="0"/>
        <v>8.0322580645161299</v>
      </c>
      <c r="AJ6" s="33">
        <f>SUM(D6,E6,F6,G6,H6,I6,J6,K6,L6,M6,N6,O6,P6,Q6,R6,S6,T6,U6,V6,W6,X6,Y6,Z6,AA6,AB6,AC6,AD6,AE6,AF6,AG6,AH6)</f>
        <v>249</v>
      </c>
      <c r="AK6" s="5">
        <f>(AJ6/(AJ3+AJ4))*100</f>
        <v>3.5414592518845116</v>
      </c>
    </row>
    <row r="7" spans="1:37" ht="18.95" customHeight="1" x14ac:dyDescent="0.3">
      <c r="A7" s="88"/>
      <c r="B7" s="90"/>
      <c r="C7" s="60" t="s">
        <v>20</v>
      </c>
      <c r="D7" s="4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8"/>
      <c r="B8" s="90"/>
      <c r="C8" s="61" t="s">
        <v>21</v>
      </c>
      <c r="D8" s="39"/>
      <c r="E8" s="39">
        <v>22</v>
      </c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>
        <v>4</v>
      </c>
      <c r="Y8" s="39"/>
      <c r="Z8" s="39"/>
      <c r="AA8" s="39"/>
      <c r="AB8" s="39"/>
      <c r="AC8" s="38"/>
      <c r="AD8" s="39"/>
      <c r="AE8" s="40"/>
      <c r="AF8" s="39"/>
      <c r="AG8" s="40"/>
      <c r="AH8" s="39"/>
      <c r="AI8" s="47">
        <f t="shared" si="0"/>
        <v>0.83870967741935487</v>
      </c>
      <c r="AJ8" s="41">
        <f>SUM(D8,E8,F8,G8,H8,I8,J8,K8,L8,M8,N8,O8,P8,Q8,R8,S8,T8,U8,V8,W8,X8,Y8,Z8,AA8,AB8,AC8,AD8,AE8,AF8,AG8,AH8)</f>
        <v>26</v>
      </c>
      <c r="AK8" s="42">
        <f>(AJ8/(AJ3+AJ4))*100</f>
        <v>0.36979092589958756</v>
      </c>
    </row>
    <row r="9" spans="1:37" ht="18.95" customHeight="1" x14ac:dyDescent="0.3">
      <c r="A9" s="88"/>
      <c r="B9" s="90"/>
      <c r="C9" s="59" t="s">
        <v>5</v>
      </c>
      <c r="D9" s="2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>
        <v>120</v>
      </c>
      <c r="AG9" s="23"/>
      <c r="AH9" s="2"/>
      <c r="AI9" s="43">
        <f t="shared" si="0"/>
        <v>3.870967741935484</v>
      </c>
      <c r="AJ9" s="32">
        <f>SUM(D9,E9,F9,G9,H9,I9,J9,K9,L9,M9,N9,O9,P9,Q9,R9,S9,T9,U9,V9,W9,X9,Y9,Z9,AA9,AB9,AC9,AD9,AE9,AF9,AG9,AH9)</f>
        <v>120</v>
      </c>
      <c r="AK9" s="3">
        <f>(AJ9/(AJ3+AJ4))*100</f>
        <v>1.7067273503057887</v>
      </c>
    </row>
    <row r="10" spans="1:37" ht="18.95" customHeight="1" x14ac:dyDescent="0.3">
      <c r="A10" s="88"/>
      <c r="B10" s="90"/>
      <c r="C10" s="60" t="s">
        <v>29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7</v>
      </c>
      <c r="D11" s="2"/>
      <c r="E11" s="2"/>
      <c r="F11" s="2"/>
      <c r="G11" s="2"/>
      <c r="H11" s="2"/>
      <c r="I11" s="2"/>
      <c r="J11" s="2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1"/>
      <c r="AD11" s="2"/>
      <c r="AE11" s="23"/>
      <c r="AF11" s="2"/>
      <c r="AG11" s="23"/>
      <c r="AH11" s="2">
        <v>64</v>
      </c>
      <c r="AI11" s="43">
        <f t="shared" si="0"/>
        <v>2.064516129032258</v>
      </c>
      <c r="AJ11" s="32">
        <f>SUM(D11,E11,F11,G11,H11,I11,J11,K11,L11,M11,N11,O11,P11,Q11,R11,S11,T11,U11,V11,W11,X11,Y11,Z11,AA11,AB11,AC11,AD11,AE11,AF11,AG11,AH11)</f>
        <v>64</v>
      </c>
      <c r="AK11" s="3">
        <f>(AJ11/(AJ3+AJ4))*100</f>
        <v>0.91025458682975402</v>
      </c>
    </row>
    <row r="12" spans="1:37" ht="18.95" customHeight="1" x14ac:dyDescent="0.3">
      <c r="A12" s="88"/>
      <c r="B12" s="91" t="s">
        <v>4</v>
      </c>
      <c r="C12" s="62" t="s">
        <v>8</v>
      </c>
      <c r="D12" s="6"/>
      <c r="E12" s="6"/>
      <c r="F12" s="6"/>
      <c r="G12" s="6"/>
      <c r="H12" s="6">
        <v>47</v>
      </c>
      <c r="I12" s="6">
        <v>39</v>
      </c>
      <c r="J12" s="26"/>
      <c r="K12" s="6"/>
      <c r="L12" s="6">
        <v>23</v>
      </c>
      <c r="M12" s="6">
        <v>11</v>
      </c>
      <c r="N12" s="6"/>
      <c r="O12" s="6"/>
      <c r="P12" s="6"/>
      <c r="Q12" s="6"/>
      <c r="R12" s="6"/>
      <c r="S12" s="6"/>
      <c r="T12" s="6"/>
      <c r="U12" s="6"/>
      <c r="V12" s="6">
        <v>77</v>
      </c>
      <c r="W12" s="6"/>
      <c r="X12" s="6"/>
      <c r="Y12" s="6"/>
      <c r="Z12" s="6"/>
      <c r="AA12" s="6"/>
      <c r="AB12" s="6"/>
      <c r="AC12" s="27"/>
      <c r="AD12" s="6">
        <v>16</v>
      </c>
      <c r="AE12" s="26">
        <v>33</v>
      </c>
      <c r="AF12" s="6"/>
      <c r="AG12" s="26"/>
      <c r="AH12" s="6"/>
      <c r="AI12" s="45">
        <f t="shared" si="0"/>
        <v>7.935483870967742</v>
      </c>
      <c r="AJ12" s="34">
        <f>SUM(D12,E12,F12,G12,H12,I12,J12,K12,L12,M12,N12,O12,P12,Q12,R12,S12,T12,U12,V12,W12,X12,Y12,Z12,AA12,AB12,AC12,AD12,AE12,AF12,AG12,AH12)</f>
        <v>246</v>
      </c>
      <c r="AK12" s="7">
        <f>(AJ12/(AJ3+AJ4))*100</f>
        <v>3.498791068126867</v>
      </c>
    </row>
    <row r="13" spans="1:37" ht="18.95" customHeight="1" x14ac:dyDescent="0.3">
      <c r="A13" s="88"/>
      <c r="B13" s="92"/>
      <c r="C13" s="62" t="s">
        <v>30</v>
      </c>
      <c r="D13" s="8"/>
      <c r="E13" s="8"/>
      <c r="F13" s="8"/>
      <c r="G13" s="8"/>
      <c r="H13" s="8">
        <v>42</v>
      </c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1.3548387096774193</v>
      </c>
      <c r="AJ13" s="35">
        <f>SUM(D13,E13,F13,G13,H13,I13,J13,K13,L13,M13,N13,O13,P13,Q13,R13,S13,T13,U13,V13,W13,X13,Y13,Z13,AA13,AB13,AC13,AD13,AE13,AF13,AG13,AH13)</f>
        <v>42</v>
      </c>
      <c r="AK13" s="9">
        <f>(AJ13/(AJ3+AJ4))*100</f>
        <v>0.59735457260702607</v>
      </c>
    </row>
    <row r="14" spans="1:37" ht="18.95" customHeight="1" x14ac:dyDescent="0.3">
      <c r="A14" s="88"/>
      <c r="B14" s="92"/>
      <c r="C14" s="56" t="s">
        <v>27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60</v>
      </c>
      <c r="Y14" s="6"/>
      <c r="Z14" s="6"/>
      <c r="AA14" s="6"/>
      <c r="AB14" s="6"/>
      <c r="AC14" s="27">
        <v>132</v>
      </c>
      <c r="AD14" s="6"/>
      <c r="AE14" s="26"/>
      <c r="AF14" s="6"/>
      <c r="AG14" s="26"/>
      <c r="AH14" s="6"/>
      <c r="AI14" s="45">
        <f t="shared" si="0"/>
        <v>6.193548387096774</v>
      </c>
      <c r="AJ14" s="34">
        <f t="shared" si="1"/>
        <v>192</v>
      </c>
      <c r="AK14" s="7">
        <f>(AJ14/(AJ3+AJ4))*100</f>
        <v>2.7307637604892618</v>
      </c>
    </row>
    <row r="15" spans="1:37" ht="18.95" customHeight="1" x14ac:dyDescent="0.3">
      <c r="A15" s="88"/>
      <c r="B15" s="92"/>
      <c r="C15" s="68" t="s">
        <v>4</v>
      </c>
      <c r="D15" s="51"/>
      <c r="E15" s="51"/>
      <c r="F15" s="51"/>
      <c r="G15" s="51"/>
      <c r="H15" s="51">
        <v>39</v>
      </c>
      <c r="I15" s="51"/>
      <c r="J15" s="50"/>
      <c r="K15" s="51"/>
      <c r="L15" s="51">
        <v>31</v>
      </c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2"/>
      <c r="AD15" s="51">
        <v>100</v>
      </c>
      <c r="AE15" s="50"/>
      <c r="AF15" s="51"/>
      <c r="AG15" s="50"/>
      <c r="AH15" s="51"/>
      <c r="AI15" s="45">
        <f t="shared" si="0"/>
        <v>5.4838709677419351</v>
      </c>
      <c r="AJ15" s="34">
        <f>SUM(D15,E15,F15,G15,H15,I15,J15,K15,L15,M15,N15,O15,P15,Q15,R15,S15,T15,U15,V15,W15,X15,Y15,Z15,AA15,AB15,AC15,AD15,AE15,AF15,AG15,AH15)</f>
        <v>170</v>
      </c>
      <c r="AK15" s="7">
        <f>(AJ15/(AJ3+AJ4))*100</f>
        <v>2.417863746266534</v>
      </c>
    </row>
    <row r="16" spans="1:37" ht="18.399999999999999" customHeight="1" x14ac:dyDescent="0.3">
      <c r="A16" s="89"/>
      <c r="B16" s="69" t="s">
        <v>9</v>
      </c>
      <c r="C16" s="65"/>
      <c r="D16" s="80">
        <f>SUM(D5:J15)</f>
        <v>291</v>
      </c>
      <c r="E16" s="81"/>
      <c r="F16" s="81"/>
      <c r="G16" s="81"/>
      <c r="H16" s="81"/>
      <c r="I16" s="81"/>
      <c r="J16" s="82"/>
      <c r="K16" s="80">
        <f>SUM(K5:Q15)</f>
        <v>332</v>
      </c>
      <c r="L16" s="81"/>
      <c r="M16" s="81"/>
      <c r="N16" s="81"/>
      <c r="O16" s="81"/>
      <c r="P16" s="81"/>
      <c r="Q16" s="82"/>
      <c r="R16" s="80">
        <f>SUM(R5:X15)</f>
        <v>287</v>
      </c>
      <c r="S16" s="81"/>
      <c r="T16" s="81"/>
      <c r="U16" s="81"/>
      <c r="V16" s="81"/>
      <c r="W16" s="81"/>
      <c r="X16" s="82"/>
      <c r="Y16" s="80">
        <f>SUM(Y5:AE15)</f>
        <v>434</v>
      </c>
      <c r="Z16" s="81"/>
      <c r="AA16" s="81"/>
      <c r="AB16" s="81"/>
      <c r="AC16" s="81"/>
      <c r="AD16" s="81"/>
      <c r="AE16" s="82"/>
      <c r="AF16" s="80">
        <f>SUM(AF5:AH15)</f>
        <v>229</v>
      </c>
      <c r="AG16" s="81"/>
      <c r="AH16" s="82"/>
      <c r="AI16" s="53">
        <f>AJ16/31</f>
        <v>50.741935483870968</v>
      </c>
      <c r="AJ16" s="49">
        <f>SUM(AJ5,AJ6,AJ7,AJ8,AJ9,AJ10,AJ11,AJ12,AJ13,AJ14,AJ15)</f>
        <v>1573</v>
      </c>
      <c r="AK16" s="10">
        <f>SUM(AK5,AK6,AK7,AK8,AK9,AK10,AK11,AK12,AK13,AK14,AK15)</f>
        <v>22.372351016925048</v>
      </c>
    </row>
    <row r="17" spans="1:37" ht="18" customHeight="1" x14ac:dyDescent="0.3">
      <c r="A17" s="114" t="s">
        <v>25</v>
      </c>
      <c r="B17" s="121"/>
      <c r="C17" s="122"/>
      <c r="D17" s="116">
        <v>-716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5"/>
    </row>
    <row r="18" spans="1:37" ht="18" customHeight="1" x14ac:dyDescent="0.3">
      <c r="A18" s="109" t="s">
        <v>19</v>
      </c>
      <c r="B18" s="109"/>
      <c r="C18" s="110"/>
      <c r="D18" s="120">
        <f>(AJ3+AJ4)-AJ16</f>
        <v>5458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77.627648983074948</v>
      </c>
    </row>
    <row r="19" spans="1:37" ht="18" customHeight="1" x14ac:dyDescent="0.3">
      <c r="A19" s="108" t="s">
        <v>26</v>
      </c>
      <c r="B19" s="109"/>
      <c r="C19" s="110"/>
      <c r="D19" s="111">
        <f>(AJ3+AJ4+D17)-AJ16</f>
        <v>4742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28</v>
      </c>
    </row>
  </sheetData>
  <mergeCells count="21">
    <mergeCell ref="A19:C19"/>
    <mergeCell ref="D19:AJ19"/>
    <mergeCell ref="D16:J16"/>
    <mergeCell ref="K16:Q16"/>
    <mergeCell ref="R16:X16"/>
    <mergeCell ref="Y16:AE16"/>
    <mergeCell ref="AF16:AH16"/>
    <mergeCell ref="A17:C17"/>
    <mergeCell ref="D17:AJ17"/>
    <mergeCell ref="A18:C18"/>
    <mergeCell ref="D18:AJ18"/>
    <mergeCell ref="A5:A16"/>
    <mergeCell ref="B5:B11"/>
    <mergeCell ref="B12:B15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13</v>
      </c>
      <c r="E1" s="36" t="s">
        <v>12</v>
      </c>
      <c r="F1" s="36" t="s">
        <v>11</v>
      </c>
      <c r="G1" s="37" t="s">
        <v>10</v>
      </c>
      <c r="H1" s="55" t="s">
        <v>16</v>
      </c>
      <c r="I1" s="36" t="s">
        <v>15</v>
      </c>
      <c r="J1" s="37" t="s">
        <v>14</v>
      </c>
      <c r="K1" s="36" t="s">
        <v>13</v>
      </c>
      <c r="L1" s="36" t="s">
        <v>12</v>
      </c>
      <c r="M1" s="36" t="s">
        <v>11</v>
      </c>
      <c r="N1" s="37" t="s">
        <v>10</v>
      </c>
      <c r="O1" s="55" t="s">
        <v>16</v>
      </c>
      <c r="P1" s="36" t="s">
        <v>15</v>
      </c>
      <c r="Q1" s="37" t="s">
        <v>14</v>
      </c>
      <c r="R1" s="36" t="s">
        <v>13</v>
      </c>
      <c r="S1" s="36" t="s">
        <v>12</v>
      </c>
      <c r="T1" s="36" t="s">
        <v>11</v>
      </c>
      <c r="U1" s="37" t="s">
        <v>10</v>
      </c>
      <c r="V1" s="55" t="s">
        <v>16</v>
      </c>
      <c r="W1" s="36" t="s">
        <v>15</v>
      </c>
      <c r="X1" s="37" t="s">
        <v>14</v>
      </c>
      <c r="Y1" s="36" t="s">
        <v>13</v>
      </c>
      <c r="Z1" s="36" t="s">
        <v>12</v>
      </c>
      <c r="AA1" s="36" t="s">
        <v>11</v>
      </c>
      <c r="AB1" s="37" t="s">
        <v>10</v>
      </c>
      <c r="AC1" s="55" t="s">
        <v>16</v>
      </c>
      <c r="AD1" s="36" t="s">
        <v>15</v>
      </c>
      <c r="AE1" s="37" t="s">
        <v>14</v>
      </c>
      <c r="AF1" s="36" t="s">
        <v>13</v>
      </c>
      <c r="AG1" s="36" t="s">
        <v>12</v>
      </c>
      <c r="AH1" s="37"/>
      <c r="AI1" s="94" t="s">
        <v>22</v>
      </c>
      <c r="AJ1" s="96" t="s">
        <v>17</v>
      </c>
      <c r="AK1" s="98" t="s">
        <v>18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/>
      <c r="J3" s="16"/>
      <c r="K3" s="15"/>
      <c r="L3" s="15">
        <v>3950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4"/>
      <c r="AD3" s="15"/>
      <c r="AE3" s="17">
        <v>3184</v>
      </c>
      <c r="AF3" s="15"/>
      <c r="AG3" s="17"/>
      <c r="AH3" s="15"/>
      <c r="AI3" s="104">
        <f>(AJ3+AJ4)/31</f>
        <v>238.90322580645162</v>
      </c>
      <c r="AJ3" s="48">
        <f>SUM(D3:AH3)</f>
        <v>7134</v>
      </c>
      <c r="AK3" s="106">
        <v>100</v>
      </c>
    </row>
    <row r="4" spans="1:37" ht="18.95" customHeight="1" x14ac:dyDescent="0.3">
      <c r="A4" s="102"/>
      <c r="B4" s="103"/>
      <c r="C4" s="58" t="s">
        <v>24</v>
      </c>
      <c r="D4" s="18"/>
      <c r="E4" s="18"/>
      <c r="F4" s="18"/>
      <c r="G4" s="18">
        <v>200</v>
      </c>
      <c r="H4" s="18"/>
      <c r="I4" s="18"/>
      <c r="J4" s="19"/>
      <c r="K4" s="18"/>
      <c r="L4" s="18"/>
      <c r="M4" s="18"/>
      <c r="N4" s="18">
        <v>72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105"/>
      <c r="AJ4" s="48">
        <f>SUM(D4:AH4)</f>
        <v>272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23</v>
      </c>
      <c r="D5" s="2">
        <v>77</v>
      </c>
      <c r="E5" s="2"/>
      <c r="F5" s="2"/>
      <c r="G5" s="2">
        <v>16</v>
      </c>
      <c r="H5" s="2">
        <v>8</v>
      </c>
      <c r="I5" s="2">
        <v>51</v>
      </c>
      <c r="J5" s="22"/>
      <c r="K5" s="2"/>
      <c r="L5" s="2">
        <v>4</v>
      </c>
      <c r="M5" s="2"/>
      <c r="N5" s="2"/>
      <c r="O5" s="2">
        <v>17</v>
      </c>
      <c r="P5" s="2">
        <v>16</v>
      </c>
      <c r="Q5" s="2">
        <v>19</v>
      </c>
      <c r="R5" s="2"/>
      <c r="S5" s="2"/>
      <c r="T5" s="2"/>
      <c r="U5" s="2"/>
      <c r="V5" s="2">
        <v>28</v>
      </c>
      <c r="W5" s="2"/>
      <c r="X5" s="2">
        <v>32</v>
      </c>
      <c r="Y5" s="2"/>
      <c r="Z5" s="2"/>
      <c r="AA5" s="2"/>
      <c r="AB5" s="2"/>
      <c r="AC5" s="21"/>
      <c r="AD5" s="2">
        <v>3</v>
      </c>
      <c r="AE5" s="23">
        <v>17</v>
      </c>
      <c r="AF5" s="2">
        <v>24</v>
      </c>
      <c r="AG5" s="23">
        <v>7</v>
      </c>
      <c r="AH5" s="2"/>
      <c r="AI5" s="43">
        <f t="shared" ref="AI5:AI15" si="0">AJ5/31</f>
        <v>10.290322580645162</v>
      </c>
      <c r="AJ5" s="32">
        <f>SUM(D5,E5,F5,G5,H5,I5,J5,K5,L5,M5,N5,O5,P5,Q5,R5,S5,T5,U5,V5,W5,X5,Y5,Z5,AA5,AB5,AC5,AD5,AE5,AF5,AG5,AH5)</f>
        <v>319</v>
      </c>
      <c r="AK5" s="3">
        <f>(AJ5/(AJ3+AJ4))*100</f>
        <v>4.3073183904941938</v>
      </c>
    </row>
    <row r="6" spans="1:37" ht="18.95" customHeight="1" x14ac:dyDescent="0.3">
      <c r="A6" s="88"/>
      <c r="B6" s="90"/>
      <c r="C6" s="60" t="s">
        <v>6</v>
      </c>
      <c r="D6" s="4"/>
      <c r="E6" s="4">
        <v>24</v>
      </c>
      <c r="F6" s="4"/>
      <c r="G6" s="4">
        <v>28</v>
      </c>
      <c r="H6" s="4"/>
      <c r="I6" s="4">
        <v>5</v>
      </c>
      <c r="J6" s="24">
        <v>15</v>
      </c>
      <c r="K6" s="4">
        <v>5</v>
      </c>
      <c r="L6" s="4">
        <v>8</v>
      </c>
      <c r="M6" s="4">
        <v>22</v>
      </c>
      <c r="N6" s="4">
        <v>29</v>
      </c>
      <c r="O6" s="4">
        <v>15</v>
      </c>
      <c r="P6" s="4"/>
      <c r="Q6" s="4">
        <v>5</v>
      </c>
      <c r="R6" s="4"/>
      <c r="S6" s="4">
        <v>20</v>
      </c>
      <c r="T6" s="4"/>
      <c r="U6" s="4">
        <v>26</v>
      </c>
      <c r="V6" s="4">
        <v>3</v>
      </c>
      <c r="W6" s="4"/>
      <c r="X6" s="4">
        <v>3</v>
      </c>
      <c r="Y6" s="4">
        <v>27</v>
      </c>
      <c r="Z6" s="4">
        <v>234</v>
      </c>
      <c r="AA6" s="4">
        <v>12</v>
      </c>
      <c r="AB6" s="4">
        <v>12</v>
      </c>
      <c r="AC6" s="25">
        <v>5</v>
      </c>
      <c r="AD6" s="4">
        <v>10</v>
      </c>
      <c r="AE6" s="24">
        <v>7</v>
      </c>
      <c r="AF6" s="4"/>
      <c r="AG6" s="24"/>
      <c r="AH6" s="4"/>
      <c r="AI6" s="44">
        <f t="shared" si="0"/>
        <v>16.612903225806452</v>
      </c>
      <c r="AJ6" s="33">
        <f>SUM(D6,E6,F6,G6,H6,I6,J6,K6,L6,M6,N6,O6,P6,Q6,R6,S6,T6,U6,V6,W6,X6,Y6,Z6,AA6,AB6,AC6,AD6,AE6,AF6,AG6,AH6)</f>
        <v>515</v>
      </c>
      <c r="AK6" s="5">
        <f>(AJ6/(AJ3+AJ4))*100</f>
        <v>6.9538212260329466</v>
      </c>
    </row>
    <row r="7" spans="1:37" ht="18.95" customHeight="1" x14ac:dyDescent="0.3">
      <c r="A7" s="88"/>
      <c r="B7" s="90"/>
      <c r="C7" s="60" t="s">
        <v>20</v>
      </c>
      <c r="D7" s="4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>
        <v>11</v>
      </c>
      <c r="AF7" s="4"/>
      <c r="AG7" s="24"/>
      <c r="AH7" s="4"/>
      <c r="AI7" s="44">
        <f t="shared" si="0"/>
        <v>0.35483870967741937</v>
      </c>
      <c r="AJ7" s="33">
        <f>SUM(D7,E7,F7,G7,H7,I7,J7,K7,L7,M7,N7,O7,P7,Q7,R7,S7,T7,U7,V7,W7,X7,Y7,Z7,AA7,AB7,AC7,AD7,AE7,AF7,AG7,AH7)</f>
        <v>11</v>
      </c>
      <c r="AK7" s="5">
        <f>(AJ7/(AJ3+AJ4))*100</f>
        <v>0.14852822036186875</v>
      </c>
    </row>
    <row r="8" spans="1:37" ht="18.95" customHeight="1" x14ac:dyDescent="0.3">
      <c r="A8" s="88"/>
      <c r="B8" s="90"/>
      <c r="C8" s="61" t="s">
        <v>21</v>
      </c>
      <c r="D8" s="39"/>
      <c r="E8" s="39"/>
      <c r="F8" s="39"/>
      <c r="G8" s="39"/>
      <c r="H8" s="39"/>
      <c r="I8" s="39"/>
      <c r="J8" s="40"/>
      <c r="K8" s="39"/>
      <c r="L8" s="39"/>
      <c r="M8" s="39"/>
      <c r="N8" s="39"/>
      <c r="O8" s="39">
        <v>11</v>
      </c>
      <c r="P8" s="39"/>
      <c r="Q8" s="39"/>
      <c r="R8" s="39"/>
      <c r="S8" s="39"/>
      <c r="T8" s="39"/>
      <c r="U8" s="39"/>
      <c r="V8" s="39"/>
      <c r="W8" s="39"/>
      <c r="X8" s="39">
        <v>12</v>
      </c>
      <c r="Y8" s="39"/>
      <c r="Z8" s="39"/>
      <c r="AA8" s="39"/>
      <c r="AB8" s="39">
        <v>5</v>
      </c>
      <c r="AC8" s="38">
        <v>20</v>
      </c>
      <c r="AD8" s="39">
        <v>52</v>
      </c>
      <c r="AE8" s="40"/>
      <c r="AF8" s="39"/>
      <c r="AG8" s="40"/>
      <c r="AH8" s="39"/>
      <c r="AI8" s="47">
        <f t="shared" si="0"/>
        <v>3.225806451612903</v>
      </c>
      <c r="AJ8" s="41">
        <f>SUM(D8,E8,F8,G8,H8,I8,J8,K8,L8,M8,N8,O8,P8,Q8,R8,S8,T8,U8,V8,W8,X8,Y8,Z8,AA8,AB8,AC8,AD8,AE8,AF8,AG8,AH8)</f>
        <v>100</v>
      </c>
      <c r="AK8" s="42">
        <f>(AJ8/(AJ3+AJ4))*100</f>
        <v>1.3502565487442613</v>
      </c>
    </row>
    <row r="9" spans="1:37" ht="18.95" customHeight="1" x14ac:dyDescent="0.3">
      <c r="A9" s="88"/>
      <c r="B9" s="90"/>
      <c r="C9" s="59" t="s">
        <v>5</v>
      </c>
      <c r="D9" s="2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>
        <v>522</v>
      </c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16.838709677419356</v>
      </c>
      <c r="AJ9" s="32">
        <f>SUM(D9,E9,F9,G9,H9,I9,J9,K9,L9,M9,N9,O9,P9,Q9,R9,S9,T9,U9,V9,W9,X9,Y9,Z9,AA9,AB9,AC9,AD9,AE9,AF9,AG9,AH9)</f>
        <v>522</v>
      </c>
      <c r="AK9" s="3">
        <f>(AJ9/(AJ3+AJ4))*100</f>
        <v>7.0483391844450445</v>
      </c>
    </row>
    <row r="10" spans="1:37" ht="18.95" customHeight="1" x14ac:dyDescent="0.3">
      <c r="A10" s="88"/>
      <c r="B10" s="90"/>
      <c r="C10" s="60" t="s">
        <v>29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7</v>
      </c>
      <c r="D11" s="2"/>
      <c r="E11" s="2"/>
      <c r="F11" s="2"/>
      <c r="G11" s="2"/>
      <c r="H11" s="2"/>
      <c r="I11" s="2"/>
      <c r="J11" s="2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v>120</v>
      </c>
      <c r="Z11" s="2"/>
      <c r="AA11" s="2"/>
      <c r="AB11" s="2"/>
      <c r="AC11" s="21"/>
      <c r="AD11" s="2"/>
      <c r="AE11" s="23"/>
      <c r="AF11" s="2"/>
      <c r="AG11" s="23">
        <v>2528</v>
      </c>
      <c r="AH11" s="2"/>
      <c r="AI11" s="43">
        <f t="shared" si="0"/>
        <v>85.41935483870968</v>
      </c>
      <c r="AJ11" s="32">
        <f>SUM(D11,E11,F11,G11,H11,I11,J11,K11,L11,M11,N11,O11,P11,Q11,R11,S11,T11,U11,V11,W11,X11,Y11,Z11,AA11,AB11,AC11,AD11,AE11,AF11,AG11,AH11)</f>
        <v>2648</v>
      </c>
      <c r="AK11" s="3">
        <f>(AJ11/(AJ3+AJ4))*100</f>
        <v>35.754793410748043</v>
      </c>
    </row>
    <row r="12" spans="1:37" ht="18.95" customHeight="1" x14ac:dyDescent="0.3">
      <c r="A12" s="88"/>
      <c r="B12" s="91" t="s">
        <v>4</v>
      </c>
      <c r="C12" s="62" t="s">
        <v>8</v>
      </c>
      <c r="D12" s="6"/>
      <c r="E12" s="6"/>
      <c r="F12" s="6">
        <v>63</v>
      </c>
      <c r="G12" s="6">
        <v>16</v>
      </c>
      <c r="H12" s="6"/>
      <c r="I12" s="6"/>
      <c r="J12" s="26"/>
      <c r="K12" s="6"/>
      <c r="L12" s="6"/>
      <c r="M12" s="6">
        <v>36</v>
      </c>
      <c r="N12" s="6"/>
      <c r="O12" s="6"/>
      <c r="P12" s="6"/>
      <c r="Q12" s="6"/>
      <c r="R12" s="6"/>
      <c r="S12" s="6"/>
      <c r="T12" s="6">
        <v>20</v>
      </c>
      <c r="U12" s="6"/>
      <c r="V12" s="6"/>
      <c r="W12" s="6"/>
      <c r="X12" s="6">
        <v>64</v>
      </c>
      <c r="Y12" s="6">
        <v>40</v>
      </c>
      <c r="Z12" s="6">
        <v>55</v>
      </c>
      <c r="AA12" s="6"/>
      <c r="AB12" s="6"/>
      <c r="AC12" s="27"/>
      <c r="AD12" s="6"/>
      <c r="AE12" s="26"/>
      <c r="AF12" s="6"/>
      <c r="AG12" s="26">
        <v>40</v>
      </c>
      <c r="AH12" s="6"/>
      <c r="AI12" s="45">
        <f t="shared" si="0"/>
        <v>10.774193548387096</v>
      </c>
      <c r="AJ12" s="34">
        <f>SUM(D12,E12,F12,G12,H12,I12,J12,K12,L12,M12,N12,O12,P12,Q12,R12,S12,T12,U12,V12,W12,X12,Y12,Z12,AA12,AB12,AC12,AD12,AE12,AF12,AG12,AH12)</f>
        <v>334</v>
      </c>
      <c r="AK12" s="7">
        <f>(AJ12/(AJ3+AJ4))*100</f>
        <v>4.509856872805833</v>
      </c>
    </row>
    <row r="13" spans="1:37" ht="18.95" customHeight="1" x14ac:dyDescent="0.3">
      <c r="A13" s="88"/>
      <c r="B13" s="92"/>
      <c r="C13" s="62" t="s">
        <v>30</v>
      </c>
      <c r="D13" s="8"/>
      <c r="E13" s="8"/>
      <c r="F13" s="8">
        <v>7</v>
      </c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0.22580645161290322</v>
      </c>
      <c r="AJ13" s="35">
        <f>SUM(D13,E13,F13,G13,H13,I13,J13,K13,L13,M13,N13,O13,P13,Q13,R13,S13,T13,U13,V13,W13,X13,Y13,Z13,AA13,AB13,AC13,AD13,AE13,AF13,AG13,AH13)</f>
        <v>7</v>
      </c>
      <c r="AK13" s="9">
        <f>(AJ13/(AJ3+AJ4))*100</f>
        <v>9.4517958412098299E-2</v>
      </c>
    </row>
    <row r="14" spans="1:37" ht="18.95" customHeight="1" x14ac:dyDescent="0.3">
      <c r="A14" s="88"/>
      <c r="B14" s="92"/>
      <c r="C14" s="56" t="s">
        <v>27</v>
      </c>
      <c r="D14" s="6"/>
      <c r="E14" s="6">
        <v>180</v>
      </c>
      <c r="F14" s="6">
        <v>40</v>
      </c>
      <c r="G14" s="6"/>
      <c r="H14" s="6"/>
      <c r="I14" s="6"/>
      <c r="J14" s="26"/>
      <c r="K14" s="6"/>
      <c r="L14" s="6">
        <v>100</v>
      </c>
      <c r="M14" s="6"/>
      <c r="N14" s="6"/>
      <c r="O14" s="6"/>
      <c r="P14" s="6"/>
      <c r="Q14" s="6"/>
      <c r="R14" s="6"/>
      <c r="S14" s="6">
        <v>80</v>
      </c>
      <c r="T14" s="6"/>
      <c r="U14" s="6"/>
      <c r="V14" s="6"/>
      <c r="W14" s="6"/>
      <c r="X14" s="6"/>
      <c r="Y14" s="6"/>
      <c r="Z14" s="6"/>
      <c r="AA14" s="6">
        <v>200</v>
      </c>
      <c r="AB14" s="6"/>
      <c r="AC14" s="27"/>
      <c r="AD14" s="6"/>
      <c r="AE14" s="26"/>
      <c r="AF14" s="6"/>
      <c r="AG14" s="26"/>
      <c r="AH14" s="6"/>
      <c r="AI14" s="45">
        <f t="shared" si="0"/>
        <v>19.35483870967742</v>
      </c>
      <c r="AJ14" s="34">
        <f t="shared" si="1"/>
        <v>600</v>
      </c>
      <c r="AK14" s="7">
        <f>(AJ14/(AJ3+AJ4))*100</f>
        <v>8.1015392924655689</v>
      </c>
    </row>
    <row r="15" spans="1:37" ht="18.95" customHeight="1" x14ac:dyDescent="0.3">
      <c r="A15" s="88"/>
      <c r="B15" s="92"/>
      <c r="C15" s="68" t="s">
        <v>4</v>
      </c>
      <c r="D15" s="51"/>
      <c r="E15" s="51"/>
      <c r="F15" s="51"/>
      <c r="G15" s="51"/>
      <c r="H15" s="51"/>
      <c r="I15" s="51"/>
      <c r="J15" s="50"/>
      <c r="K15" s="51"/>
      <c r="L15" s="51"/>
      <c r="M15" s="51"/>
      <c r="N15" s="51"/>
      <c r="O15" s="51"/>
      <c r="P15" s="51"/>
      <c r="Q15" s="51"/>
      <c r="R15" s="51"/>
      <c r="S15" s="51">
        <v>40</v>
      </c>
      <c r="T15" s="51">
        <v>140</v>
      </c>
      <c r="U15" s="51"/>
      <c r="V15" s="51">
        <v>60</v>
      </c>
      <c r="W15" s="51"/>
      <c r="X15" s="51">
        <v>20</v>
      </c>
      <c r="Y15" s="51">
        <v>40</v>
      </c>
      <c r="Z15" s="51">
        <v>60</v>
      </c>
      <c r="AA15" s="51"/>
      <c r="AB15" s="51"/>
      <c r="AC15" s="52"/>
      <c r="AD15" s="51"/>
      <c r="AE15" s="50"/>
      <c r="AF15" s="51"/>
      <c r="AG15" s="50">
        <v>280</v>
      </c>
      <c r="AH15" s="51"/>
      <c r="AI15" s="45">
        <f t="shared" si="0"/>
        <v>20.64516129032258</v>
      </c>
      <c r="AJ15" s="34">
        <f>SUM(D15,E15,F15,G15,H15,I15,J15,K15,L15,M15,N15,O15,P15,Q15,R15,S15,T15,U15,V15,W15,X15,Y15,Z15,AA15,AB15,AC15,AD15,AE15,AF15,AG15,AH15)</f>
        <v>640</v>
      </c>
      <c r="AK15" s="7">
        <f>(AJ15/(AJ3+AJ4))*100</f>
        <v>8.6416419119632728</v>
      </c>
    </row>
    <row r="16" spans="1:37" ht="18.399999999999999" customHeight="1" x14ac:dyDescent="0.3">
      <c r="A16" s="89"/>
      <c r="B16" s="69" t="s">
        <v>9</v>
      </c>
      <c r="C16" s="65"/>
      <c r="D16" s="80">
        <f>SUM(D5:G15)+229</f>
        <v>680</v>
      </c>
      <c r="E16" s="81"/>
      <c r="F16" s="81"/>
      <c r="G16" s="82"/>
      <c r="H16" s="80">
        <f>SUM(H5:N15)</f>
        <v>283</v>
      </c>
      <c r="I16" s="81"/>
      <c r="J16" s="81"/>
      <c r="K16" s="81"/>
      <c r="L16" s="81"/>
      <c r="M16" s="81"/>
      <c r="N16" s="82"/>
      <c r="O16" s="80">
        <f>SUM(O5:U15)</f>
        <v>409</v>
      </c>
      <c r="P16" s="81"/>
      <c r="Q16" s="81"/>
      <c r="R16" s="81"/>
      <c r="S16" s="81"/>
      <c r="T16" s="81"/>
      <c r="U16" s="82"/>
      <c r="V16" s="80">
        <f>SUM(V5:AB15)</f>
        <v>1549</v>
      </c>
      <c r="W16" s="81"/>
      <c r="X16" s="81"/>
      <c r="Y16" s="81"/>
      <c r="Z16" s="81"/>
      <c r="AA16" s="81"/>
      <c r="AB16" s="82"/>
      <c r="AC16" s="80">
        <f>SUM(AC5:AG15)</f>
        <v>3004</v>
      </c>
      <c r="AD16" s="81"/>
      <c r="AE16" s="81"/>
      <c r="AF16" s="81"/>
      <c r="AG16" s="82"/>
      <c r="AH16" s="66"/>
      <c r="AI16" s="53">
        <f>AJ16/31</f>
        <v>183.74193548387098</v>
      </c>
      <c r="AJ16" s="49">
        <f>SUM(AJ5,AJ6,AJ7,AJ8,AJ9,AJ10,AJ11,AJ12,AJ13,AJ14,AJ15)</f>
        <v>5696</v>
      </c>
      <c r="AK16" s="10">
        <f>SUM(AK5,AK6,AK7,AK8,AK9,AK10,AK11,AK12,AK13,AK14,AK15)</f>
        <v>76.910613016473135</v>
      </c>
    </row>
    <row r="17" spans="1:37" ht="18" customHeight="1" x14ac:dyDescent="0.3">
      <c r="A17" s="114" t="s">
        <v>25</v>
      </c>
      <c r="B17" s="121"/>
      <c r="C17" s="122"/>
      <c r="D17" s="116">
        <v>4742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6"/>
    </row>
    <row r="18" spans="1:37" ht="18" customHeight="1" x14ac:dyDescent="0.3">
      <c r="A18" s="109" t="s">
        <v>19</v>
      </c>
      <c r="B18" s="109"/>
      <c r="C18" s="110"/>
      <c r="D18" s="120">
        <f>(AJ3+AJ4)-AJ16</f>
        <v>1710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23.089386983526868</v>
      </c>
    </row>
    <row r="19" spans="1:37" ht="18" customHeight="1" x14ac:dyDescent="0.3">
      <c r="A19" s="108" t="s">
        <v>26</v>
      </c>
      <c r="B19" s="109"/>
      <c r="C19" s="110"/>
      <c r="D19" s="111">
        <f>(AJ3+AJ4+D17)-AJ16</f>
        <v>6452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28</v>
      </c>
    </row>
  </sheetData>
  <mergeCells count="21">
    <mergeCell ref="A19:C19"/>
    <mergeCell ref="D19:AJ19"/>
    <mergeCell ref="A17:C17"/>
    <mergeCell ref="D17:AJ17"/>
    <mergeCell ref="A18:C18"/>
    <mergeCell ref="D18:AJ18"/>
    <mergeCell ref="A5:A16"/>
    <mergeCell ref="B5:B11"/>
    <mergeCell ref="B12:B15"/>
    <mergeCell ref="A1:C2"/>
    <mergeCell ref="AI1:AI2"/>
    <mergeCell ref="D16:G16"/>
    <mergeCell ref="H16:N16"/>
    <mergeCell ref="O16:U16"/>
    <mergeCell ref="V16:AB16"/>
    <mergeCell ref="AC16:AG16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11</v>
      </c>
      <c r="E1" s="37" t="s">
        <v>10</v>
      </c>
      <c r="F1" s="55" t="s">
        <v>16</v>
      </c>
      <c r="G1" s="36" t="s">
        <v>15</v>
      </c>
      <c r="H1" s="37" t="s">
        <v>14</v>
      </c>
      <c r="I1" s="36" t="s">
        <v>13</v>
      </c>
      <c r="J1" s="36" t="s">
        <v>12</v>
      </c>
      <c r="K1" s="36" t="s">
        <v>11</v>
      </c>
      <c r="L1" s="37" t="s">
        <v>10</v>
      </c>
      <c r="M1" s="55" t="s">
        <v>16</v>
      </c>
      <c r="N1" s="36" t="s">
        <v>15</v>
      </c>
      <c r="O1" s="37" t="s">
        <v>14</v>
      </c>
      <c r="P1" s="36" t="s">
        <v>13</v>
      </c>
      <c r="Q1" s="36" t="s">
        <v>12</v>
      </c>
      <c r="R1" s="36" t="s">
        <v>11</v>
      </c>
      <c r="S1" s="37" t="s">
        <v>10</v>
      </c>
      <c r="T1" s="55" t="s">
        <v>16</v>
      </c>
      <c r="U1" s="36" t="s">
        <v>15</v>
      </c>
      <c r="V1" s="37" t="s">
        <v>14</v>
      </c>
      <c r="W1" s="36" t="s">
        <v>13</v>
      </c>
      <c r="X1" s="36" t="s">
        <v>12</v>
      </c>
      <c r="Y1" s="36" t="s">
        <v>11</v>
      </c>
      <c r="Z1" s="37" t="s">
        <v>10</v>
      </c>
      <c r="AA1" s="55" t="s">
        <v>16</v>
      </c>
      <c r="AB1" s="36" t="s">
        <v>15</v>
      </c>
      <c r="AC1" s="37" t="s">
        <v>14</v>
      </c>
      <c r="AD1" s="36" t="s">
        <v>13</v>
      </c>
      <c r="AE1" s="36" t="s">
        <v>12</v>
      </c>
      <c r="AF1" s="36" t="s">
        <v>11</v>
      </c>
      <c r="AG1" s="37" t="s">
        <v>10</v>
      </c>
      <c r="AH1" s="55" t="s">
        <v>16</v>
      </c>
      <c r="AI1" s="94" t="s">
        <v>22</v>
      </c>
      <c r="AJ1" s="96" t="s">
        <v>17</v>
      </c>
      <c r="AK1" s="98" t="s">
        <v>18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/>
      <c r="J3" s="16">
        <v>3896</v>
      </c>
      <c r="K3" s="15"/>
      <c r="L3" s="15"/>
      <c r="M3" s="15"/>
      <c r="N3" s="15">
        <v>647</v>
      </c>
      <c r="O3" s="15"/>
      <c r="P3" s="15"/>
      <c r="Q3" s="15"/>
      <c r="R3" s="15"/>
      <c r="S3" s="15"/>
      <c r="T3" s="15"/>
      <c r="U3" s="15"/>
      <c r="V3" s="15"/>
      <c r="W3" s="15">
        <v>1609</v>
      </c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4">
        <f>(AJ3+AJ4)/31</f>
        <v>199.87096774193549</v>
      </c>
      <c r="AJ3" s="48">
        <f>SUM(D3:AH3)</f>
        <v>6152</v>
      </c>
      <c r="AK3" s="106">
        <v>100</v>
      </c>
    </row>
    <row r="4" spans="1:37" ht="18.95" customHeight="1" x14ac:dyDescent="0.3">
      <c r="A4" s="102"/>
      <c r="B4" s="103"/>
      <c r="C4" s="58" t="s">
        <v>24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>
        <v>44</v>
      </c>
      <c r="AI4" s="105"/>
      <c r="AJ4" s="48">
        <f>SUM(D4:AH4)</f>
        <v>44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23</v>
      </c>
      <c r="D5" s="2">
        <v>6</v>
      </c>
      <c r="E5" s="2">
        <v>18</v>
      </c>
      <c r="F5" s="2">
        <v>20</v>
      </c>
      <c r="G5" s="2"/>
      <c r="H5" s="2"/>
      <c r="I5" s="2">
        <v>22</v>
      </c>
      <c r="J5" s="22"/>
      <c r="K5" s="2"/>
      <c r="L5" s="2"/>
      <c r="M5" s="2"/>
      <c r="N5" s="2"/>
      <c r="O5" s="2"/>
      <c r="P5" s="2">
        <v>20</v>
      </c>
      <c r="Q5" s="2">
        <v>10</v>
      </c>
      <c r="R5" s="2"/>
      <c r="S5" s="2">
        <v>7</v>
      </c>
      <c r="T5" s="2">
        <v>69</v>
      </c>
      <c r="U5" s="2">
        <v>28</v>
      </c>
      <c r="V5" s="2">
        <v>3</v>
      </c>
      <c r="W5" s="2">
        <v>10</v>
      </c>
      <c r="X5" s="2">
        <v>52</v>
      </c>
      <c r="Y5" s="2">
        <v>46</v>
      </c>
      <c r="Z5" s="2">
        <v>14</v>
      </c>
      <c r="AA5" s="2">
        <v>35</v>
      </c>
      <c r="AB5" s="2"/>
      <c r="AC5" s="21">
        <v>6</v>
      </c>
      <c r="AD5" s="2">
        <v>15</v>
      </c>
      <c r="AE5" s="23">
        <v>51</v>
      </c>
      <c r="AF5" s="2">
        <v>88</v>
      </c>
      <c r="AG5" s="23">
        <v>6</v>
      </c>
      <c r="AH5" s="2"/>
      <c r="AI5" s="43">
        <f t="shared" ref="AI5:AI15" si="0">AJ5/31</f>
        <v>16.967741935483872</v>
      </c>
      <c r="AJ5" s="32">
        <f>SUM(D5,E5,F5,G5,H5,I5,J5,K5,L5,M5,N5,O5,P5,Q5,R5,S5,T5,U5,V5,W5,X5,Y5,Z5,AA5,AB5,AC5,AD5,AE5,AF5,AG5,AH5)</f>
        <v>526</v>
      </c>
      <c r="AK5" s="3">
        <f>(AJ5/(AJ3+AJ4))*100</f>
        <v>8.4893479664299552</v>
      </c>
    </row>
    <row r="6" spans="1:37" ht="18.95" customHeight="1" x14ac:dyDescent="0.3">
      <c r="A6" s="88"/>
      <c r="B6" s="90"/>
      <c r="C6" s="60" t="s">
        <v>6</v>
      </c>
      <c r="D6" s="4"/>
      <c r="E6" s="4"/>
      <c r="F6" s="4"/>
      <c r="G6" s="4"/>
      <c r="H6" s="4"/>
      <c r="I6" s="4"/>
      <c r="J6" s="24"/>
      <c r="K6" s="4"/>
      <c r="L6" s="4"/>
      <c r="M6" s="4">
        <v>2</v>
      </c>
      <c r="N6" s="4"/>
      <c r="O6" s="4"/>
      <c r="P6" s="4"/>
      <c r="Q6" s="4"/>
      <c r="R6" s="4">
        <v>20</v>
      </c>
      <c r="S6" s="4">
        <v>5</v>
      </c>
      <c r="T6" s="4">
        <v>3</v>
      </c>
      <c r="U6" s="4">
        <v>30</v>
      </c>
      <c r="V6" s="4"/>
      <c r="W6" s="4">
        <v>15</v>
      </c>
      <c r="X6" s="4">
        <v>10</v>
      </c>
      <c r="Y6" s="4"/>
      <c r="Z6" s="4">
        <v>8</v>
      </c>
      <c r="AA6" s="4"/>
      <c r="AB6" s="4">
        <v>31</v>
      </c>
      <c r="AC6" s="25"/>
      <c r="AD6" s="4">
        <v>2</v>
      </c>
      <c r="AE6" s="24"/>
      <c r="AF6" s="4"/>
      <c r="AG6" s="24"/>
      <c r="AH6" s="4">
        <v>5</v>
      </c>
      <c r="AI6" s="44">
        <f t="shared" si="0"/>
        <v>4.225806451612903</v>
      </c>
      <c r="AJ6" s="33">
        <f>SUM(D6,E6,F6,G6,H6,I6,J6,K6,L6,M6,N6,O6,P6,Q6,R6,S6,T6,U6,V6,W6,X6,Y6,Z6,AA6,AB6,AC6,AD6,AE6,AF6,AG6,AH6)</f>
        <v>131</v>
      </c>
      <c r="AK6" s="5">
        <f>(AJ6/(AJ3+AJ4))*100</f>
        <v>2.1142672692059392</v>
      </c>
    </row>
    <row r="7" spans="1:37" ht="18.95" customHeight="1" x14ac:dyDescent="0.3">
      <c r="A7" s="88"/>
      <c r="B7" s="90"/>
      <c r="C7" s="60" t="s">
        <v>20</v>
      </c>
      <c r="D7" s="4"/>
      <c r="E7" s="4"/>
      <c r="F7" s="4"/>
      <c r="G7" s="4"/>
      <c r="H7" s="4"/>
      <c r="I7" s="4"/>
      <c r="J7" s="24"/>
      <c r="K7" s="4"/>
      <c r="L7" s="4"/>
      <c r="M7" s="4"/>
      <c r="N7" s="4">
        <v>38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1.2258064516129032</v>
      </c>
      <c r="AJ7" s="33">
        <f>SUM(D7,E7,F7,G7,H7,I7,J7,K7,L7,M7,N7,O7,P7,Q7,R7,S7,T7,U7,V7,W7,X7,Y7,Z7,AA7,AB7,AC7,AD7,AE7,AF7,AG7,AH7)</f>
        <v>38</v>
      </c>
      <c r="AK7" s="5">
        <f>(AJ7/(AJ3+AJ4))*100</f>
        <v>0.61329890251775343</v>
      </c>
    </row>
    <row r="8" spans="1:37" ht="18.95" customHeight="1" x14ac:dyDescent="0.3">
      <c r="A8" s="88"/>
      <c r="B8" s="90"/>
      <c r="C8" s="61" t="s">
        <v>21</v>
      </c>
      <c r="D8" s="39"/>
      <c r="E8" s="39"/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>
        <v>13</v>
      </c>
      <c r="X8" s="39"/>
      <c r="Y8" s="39"/>
      <c r="Z8" s="39"/>
      <c r="AA8" s="39"/>
      <c r="AB8" s="39"/>
      <c r="AC8" s="38"/>
      <c r="AD8" s="39">
        <v>20</v>
      </c>
      <c r="AE8" s="40"/>
      <c r="AF8" s="39"/>
      <c r="AG8" s="40"/>
      <c r="AH8" s="39">
        <v>8</v>
      </c>
      <c r="AI8" s="47">
        <f t="shared" si="0"/>
        <v>1.3225806451612903</v>
      </c>
      <c r="AJ8" s="41">
        <f>SUM(D8,E8,F8,G8,H8,I8,J8,K8,L8,M8,N8,O8,P8,Q8,R8,S8,T8,U8,V8,W8,X8,Y8,Z8,AA8,AB8,AC8,AD8,AE8,AF8,AG8,AH8)</f>
        <v>41</v>
      </c>
      <c r="AK8" s="42">
        <f>(AJ8/(AJ3+AJ4))*100</f>
        <v>0.66171723692704976</v>
      </c>
    </row>
    <row r="9" spans="1:37" ht="18.95" customHeight="1" x14ac:dyDescent="0.3">
      <c r="A9" s="88"/>
      <c r="B9" s="90"/>
      <c r="C9" s="59" t="s">
        <v>5</v>
      </c>
      <c r="D9" s="2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>
        <v>120</v>
      </c>
      <c r="U9" s="2"/>
      <c r="V9" s="2">
        <v>521</v>
      </c>
      <c r="W9" s="2"/>
      <c r="X9" s="2"/>
      <c r="Y9" s="2"/>
      <c r="Z9" s="2"/>
      <c r="AA9" s="2"/>
      <c r="AB9" s="2"/>
      <c r="AC9" s="21"/>
      <c r="AD9" s="2"/>
      <c r="AE9" s="23"/>
      <c r="AF9" s="2"/>
      <c r="AG9" s="23"/>
      <c r="AH9" s="2">
        <v>120</v>
      </c>
      <c r="AI9" s="43">
        <f t="shared" si="0"/>
        <v>24.548387096774192</v>
      </c>
      <c r="AJ9" s="32">
        <f>SUM(D9,E9,F9,G9,H9,I9,J9,K9,L9,M9,N9,O9,P9,Q9,R9,S9,T9,U9,V9,W9,X9,Y9,Z9,AA9,AB9,AC9,AD9,AE9,AF9,AG9,AH9)</f>
        <v>761</v>
      </c>
      <c r="AK9" s="3">
        <f>(AJ9/(AJ3+AJ4))*100</f>
        <v>12.282117495158166</v>
      </c>
    </row>
    <row r="10" spans="1:37" ht="18.95" customHeight="1" x14ac:dyDescent="0.3">
      <c r="A10" s="88"/>
      <c r="B10" s="90"/>
      <c r="C10" s="60" t="s">
        <v>29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7</v>
      </c>
      <c r="D11" s="2"/>
      <c r="E11" s="2"/>
      <c r="F11" s="2">
        <v>20</v>
      </c>
      <c r="G11" s="2"/>
      <c r="H11" s="2"/>
      <c r="I11" s="2"/>
      <c r="J11" s="22"/>
      <c r="K11" s="2"/>
      <c r="L11" s="2">
        <v>32</v>
      </c>
      <c r="M11" s="2"/>
      <c r="N11" s="2"/>
      <c r="O11" s="2"/>
      <c r="P11" s="2"/>
      <c r="Q11" s="2"/>
      <c r="R11" s="2"/>
      <c r="S11" s="2"/>
      <c r="T11" s="2"/>
      <c r="U11" s="2"/>
      <c r="V11" s="2">
        <v>4</v>
      </c>
      <c r="W11" s="2"/>
      <c r="X11" s="2"/>
      <c r="Y11" s="2"/>
      <c r="Z11" s="2">
        <v>10</v>
      </c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2.129032258064516</v>
      </c>
      <c r="AJ11" s="32">
        <f>SUM(D11,E11,F11,G11,H11,I11,J11,K11,L11,M11,N11,O11,P11,Q11,R11,S11,T11,U11,V11,W11,X11,Y11,Z11,AA11,AB11,AC11,AD11,AE11,AF11,AG11,AH11)</f>
        <v>66</v>
      </c>
      <c r="AK11" s="3">
        <f>(AJ11/(AJ3+AJ4))*100</f>
        <v>1.065203357004519</v>
      </c>
    </row>
    <row r="12" spans="1:37" ht="18.95" customHeight="1" x14ac:dyDescent="0.3">
      <c r="A12" s="88"/>
      <c r="B12" s="91" t="s">
        <v>4</v>
      </c>
      <c r="C12" s="62" t="s">
        <v>8</v>
      </c>
      <c r="D12" s="6">
        <v>40</v>
      </c>
      <c r="E12" s="6">
        <v>48</v>
      </c>
      <c r="F12" s="6">
        <v>20</v>
      </c>
      <c r="G12" s="6">
        <v>28</v>
      </c>
      <c r="H12" s="6">
        <v>8</v>
      </c>
      <c r="I12" s="6">
        <v>20</v>
      </c>
      <c r="J12" s="26">
        <v>85</v>
      </c>
      <c r="K12" s="6"/>
      <c r="L12" s="6"/>
      <c r="M12" s="6"/>
      <c r="N12" s="6"/>
      <c r="O12" s="6"/>
      <c r="P12" s="6"/>
      <c r="Q12" s="6">
        <v>30</v>
      </c>
      <c r="R12" s="6"/>
      <c r="S12" s="6"/>
      <c r="T12" s="6"/>
      <c r="U12" s="6"/>
      <c r="V12" s="6"/>
      <c r="W12" s="6"/>
      <c r="X12" s="6"/>
      <c r="Y12" s="6"/>
      <c r="Z12" s="6">
        <v>25</v>
      </c>
      <c r="AA12" s="6"/>
      <c r="AB12" s="6"/>
      <c r="AC12" s="27"/>
      <c r="AD12" s="6">
        <v>48</v>
      </c>
      <c r="AE12" s="26"/>
      <c r="AF12" s="6"/>
      <c r="AG12" s="26"/>
      <c r="AH12" s="6"/>
      <c r="AI12" s="45">
        <f t="shared" si="0"/>
        <v>11.35483870967742</v>
      </c>
      <c r="AJ12" s="34">
        <f>SUM(D12,E12,F12,G12,H12,I12,J12,K12,L12,M12,N12,O12,P12,Q12,R12,S12,T12,U12,V12,W12,X12,Y12,Z12,AA12,AB12,AC12,AD12,AE12,AF12,AG12,AH12)</f>
        <v>352</v>
      </c>
      <c r="AK12" s="7">
        <f>(AJ12/(AJ3+AJ4))*100</f>
        <v>5.6810845706907687</v>
      </c>
    </row>
    <row r="13" spans="1:37" ht="18.95" customHeight="1" x14ac:dyDescent="0.3">
      <c r="A13" s="88"/>
      <c r="B13" s="92"/>
      <c r="C13" s="62" t="s">
        <v>30</v>
      </c>
      <c r="D13" s="8"/>
      <c r="E13" s="8"/>
      <c r="F13" s="8"/>
      <c r="G13" s="8">
        <v>20</v>
      </c>
      <c r="H13" s="8"/>
      <c r="I13" s="8"/>
      <c r="J13" s="29"/>
      <c r="K13" s="8"/>
      <c r="L13" s="8"/>
      <c r="M13" s="8"/>
      <c r="N13" s="8"/>
      <c r="O13" s="8"/>
      <c r="P13" s="8"/>
      <c r="Q13" s="8">
        <v>26</v>
      </c>
      <c r="R13" s="8"/>
      <c r="S13" s="8"/>
      <c r="T13" s="8"/>
      <c r="U13" s="8"/>
      <c r="V13" s="8"/>
      <c r="W13" s="8"/>
      <c r="X13" s="8"/>
      <c r="Y13" s="8"/>
      <c r="Z13" s="8">
        <v>15</v>
      </c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1.967741935483871</v>
      </c>
      <c r="AJ13" s="35">
        <f>SUM(D13,E13,F13,G13,H13,I13,J13,K13,L13,M13,N13,O13,P13,Q13,R13,S13,T13,U13,V13,W13,X13,Y13,Z13,AA13,AB13,AC13,AD13,AE13,AF13,AG13,AH13)</f>
        <v>61</v>
      </c>
      <c r="AK13" s="9">
        <f>(AJ13/(AJ3+AJ4))*100</f>
        <v>0.98450613298902512</v>
      </c>
    </row>
    <row r="14" spans="1:37" ht="18.95" customHeight="1" x14ac:dyDescent="0.3">
      <c r="A14" s="88"/>
      <c r="B14" s="92"/>
      <c r="C14" s="56" t="s">
        <v>27</v>
      </c>
      <c r="D14" s="6">
        <v>160</v>
      </c>
      <c r="E14" s="6"/>
      <c r="F14" s="6"/>
      <c r="G14" s="6"/>
      <c r="H14" s="6"/>
      <c r="I14" s="6"/>
      <c r="J14" s="26"/>
      <c r="K14" s="6">
        <v>232</v>
      </c>
      <c r="L14" s="6">
        <v>88</v>
      </c>
      <c r="M14" s="6"/>
      <c r="N14" s="6"/>
      <c r="O14" s="6">
        <v>100</v>
      </c>
      <c r="P14" s="6"/>
      <c r="Q14" s="6"/>
      <c r="R14" s="6">
        <v>87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21.516129032258064</v>
      </c>
      <c r="AJ14" s="34">
        <f t="shared" si="1"/>
        <v>667</v>
      </c>
      <c r="AK14" s="7">
        <f>(AJ14/(AJ3+AJ4))*100</f>
        <v>10.765009683666882</v>
      </c>
    </row>
    <row r="15" spans="1:37" ht="18.95" customHeight="1" x14ac:dyDescent="0.3">
      <c r="A15" s="88"/>
      <c r="B15" s="92"/>
      <c r="C15" s="68" t="s">
        <v>4</v>
      </c>
      <c r="D15" s="51"/>
      <c r="E15" s="51"/>
      <c r="F15" s="51"/>
      <c r="G15" s="51"/>
      <c r="H15" s="51">
        <v>40</v>
      </c>
      <c r="I15" s="51"/>
      <c r="J15" s="50">
        <v>80</v>
      </c>
      <c r="K15" s="51"/>
      <c r="L15" s="51"/>
      <c r="M15" s="51"/>
      <c r="N15" s="51">
        <v>20</v>
      </c>
      <c r="O15" s="51">
        <v>12</v>
      </c>
      <c r="P15" s="51"/>
      <c r="Q15" s="51"/>
      <c r="R15" s="51">
        <v>200</v>
      </c>
      <c r="S15" s="51"/>
      <c r="T15" s="51"/>
      <c r="U15" s="51"/>
      <c r="V15" s="51">
        <v>80</v>
      </c>
      <c r="W15" s="51"/>
      <c r="X15" s="51">
        <v>80</v>
      </c>
      <c r="Y15" s="51">
        <v>80</v>
      </c>
      <c r="Z15" s="51"/>
      <c r="AA15" s="51"/>
      <c r="AB15" s="51"/>
      <c r="AC15" s="52">
        <v>40</v>
      </c>
      <c r="AD15" s="51">
        <v>260</v>
      </c>
      <c r="AE15" s="50"/>
      <c r="AF15" s="51"/>
      <c r="AG15" s="50"/>
      <c r="AH15" s="51"/>
      <c r="AI15" s="45">
        <f t="shared" si="0"/>
        <v>28.774193548387096</v>
      </c>
      <c r="AJ15" s="34">
        <f>SUM(D15,E15,F15,G15,H15,I15,J15,K15,L15,M15,N15,O15,P15,Q15,R15,S15,T15,U15,V15,W15,X15,Y15,Z15,AA15,AB15,AC15,AD15,AE15,AF15,AG15,AH15)</f>
        <v>892</v>
      </c>
      <c r="AK15" s="7">
        <f>(AJ15/(AJ3+AJ4))*100</f>
        <v>14.396384764364106</v>
      </c>
    </row>
    <row r="16" spans="1:37" ht="18.399999999999999" customHeight="1" x14ac:dyDescent="0.3">
      <c r="A16" s="89"/>
      <c r="B16" s="69" t="s">
        <v>9</v>
      </c>
      <c r="C16" s="65"/>
      <c r="D16" s="80">
        <f>SUM(D5:E15)</f>
        <v>272</v>
      </c>
      <c r="E16" s="82"/>
      <c r="F16" s="80">
        <f>SUM(F5:L15)</f>
        <v>715</v>
      </c>
      <c r="G16" s="81"/>
      <c r="H16" s="81"/>
      <c r="I16" s="81"/>
      <c r="J16" s="81"/>
      <c r="K16" s="81"/>
      <c r="L16" s="82"/>
      <c r="M16" s="80">
        <f>SUM(M5:S15)</f>
        <v>577</v>
      </c>
      <c r="N16" s="81"/>
      <c r="O16" s="81"/>
      <c r="P16" s="81"/>
      <c r="Q16" s="81"/>
      <c r="R16" s="81"/>
      <c r="S16" s="82"/>
      <c r="T16" s="80">
        <f>SUM(T5:Z15)</f>
        <v>1236</v>
      </c>
      <c r="U16" s="81"/>
      <c r="V16" s="81"/>
      <c r="W16" s="81"/>
      <c r="X16" s="81"/>
      <c r="Y16" s="81"/>
      <c r="Z16" s="82"/>
      <c r="AA16" s="80">
        <f>SUM(AA5:AG15)</f>
        <v>602</v>
      </c>
      <c r="AB16" s="81"/>
      <c r="AC16" s="81"/>
      <c r="AD16" s="81"/>
      <c r="AE16" s="81"/>
      <c r="AF16" s="81"/>
      <c r="AG16" s="82"/>
      <c r="AH16" s="66"/>
      <c r="AI16" s="53">
        <f>AJ16/31</f>
        <v>114.03225806451613</v>
      </c>
      <c r="AJ16" s="49">
        <f>SUM(AJ5,AJ6,AJ7,AJ8,AJ9,AJ10,AJ11,AJ12,AJ13,AJ14,AJ15)</f>
        <v>3535</v>
      </c>
      <c r="AK16" s="10">
        <f>SUM(AK5,AK6,AK7,AK8,AK9,AK10,AK11,AK12,AK13,AK14,AK15)</f>
        <v>57.052937378954162</v>
      </c>
    </row>
    <row r="17" spans="1:37" ht="18" customHeight="1" x14ac:dyDescent="0.3">
      <c r="A17" s="114" t="s">
        <v>25</v>
      </c>
      <c r="B17" s="121"/>
      <c r="C17" s="122"/>
      <c r="D17" s="116">
        <v>6452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7"/>
    </row>
    <row r="18" spans="1:37" ht="18" customHeight="1" x14ac:dyDescent="0.3">
      <c r="A18" s="109" t="s">
        <v>19</v>
      </c>
      <c r="B18" s="109"/>
      <c r="C18" s="110"/>
      <c r="D18" s="120">
        <f>(AJ3+AJ4)-AJ16</f>
        <v>2661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42.947062621045831</v>
      </c>
    </row>
    <row r="19" spans="1:37" ht="18" customHeight="1" x14ac:dyDescent="0.3">
      <c r="A19" s="108" t="s">
        <v>26</v>
      </c>
      <c r="B19" s="109"/>
      <c r="C19" s="110"/>
      <c r="D19" s="111">
        <f>(AJ3+AJ4+D17)-AJ16</f>
        <v>9113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28</v>
      </c>
    </row>
  </sheetData>
  <mergeCells count="21">
    <mergeCell ref="AJ1:AJ2"/>
    <mergeCell ref="AK1:AK2"/>
    <mergeCell ref="A3:B4"/>
    <mergeCell ref="AI3:AI4"/>
    <mergeCell ref="AK3:AK4"/>
    <mergeCell ref="A5:A16"/>
    <mergeCell ref="B5:B11"/>
    <mergeCell ref="B12:B15"/>
    <mergeCell ref="A1:C2"/>
    <mergeCell ref="AI1:AI2"/>
    <mergeCell ref="D16:E16"/>
    <mergeCell ref="F16:L16"/>
    <mergeCell ref="M16:S16"/>
    <mergeCell ref="T16:Z16"/>
    <mergeCell ref="AA16:AG16"/>
    <mergeCell ref="A19:C19"/>
    <mergeCell ref="D19:AJ19"/>
    <mergeCell ref="A17:C17"/>
    <mergeCell ref="D17:AJ17"/>
    <mergeCell ref="A18:C18"/>
    <mergeCell ref="D18:AJ1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15</v>
      </c>
      <c r="E1" s="37" t="s">
        <v>14</v>
      </c>
      <c r="F1" s="36" t="s">
        <v>13</v>
      </c>
      <c r="G1" s="36" t="s">
        <v>12</v>
      </c>
      <c r="H1" s="36" t="s">
        <v>11</v>
      </c>
      <c r="I1" s="37" t="s">
        <v>10</v>
      </c>
      <c r="J1" s="55" t="s">
        <v>16</v>
      </c>
      <c r="K1" s="36" t="s">
        <v>15</v>
      </c>
      <c r="L1" s="37" t="s">
        <v>14</v>
      </c>
      <c r="M1" s="36" t="s">
        <v>13</v>
      </c>
      <c r="N1" s="36" t="s">
        <v>12</v>
      </c>
      <c r="O1" s="36" t="s">
        <v>11</v>
      </c>
      <c r="P1" s="37" t="s">
        <v>10</v>
      </c>
      <c r="Q1" s="55" t="s">
        <v>16</v>
      </c>
      <c r="R1" s="36" t="s">
        <v>15</v>
      </c>
      <c r="S1" s="37" t="s">
        <v>14</v>
      </c>
      <c r="T1" s="36" t="s">
        <v>13</v>
      </c>
      <c r="U1" s="36" t="s">
        <v>12</v>
      </c>
      <c r="V1" s="36" t="s">
        <v>11</v>
      </c>
      <c r="W1" s="37" t="s">
        <v>10</v>
      </c>
      <c r="X1" s="55" t="s">
        <v>16</v>
      </c>
      <c r="Y1" s="36" t="s">
        <v>15</v>
      </c>
      <c r="Z1" s="37" t="s">
        <v>14</v>
      </c>
      <c r="AA1" s="36" t="s">
        <v>13</v>
      </c>
      <c r="AB1" s="36" t="s">
        <v>12</v>
      </c>
      <c r="AC1" s="36" t="s">
        <v>11</v>
      </c>
      <c r="AD1" s="37" t="s">
        <v>10</v>
      </c>
      <c r="AE1" s="55" t="s">
        <v>16</v>
      </c>
      <c r="AF1" s="36" t="s">
        <v>15</v>
      </c>
      <c r="AG1" s="37" t="s">
        <v>14</v>
      </c>
      <c r="AH1" s="55"/>
      <c r="AI1" s="94" t="s">
        <v>22</v>
      </c>
      <c r="AJ1" s="96" t="s">
        <v>17</v>
      </c>
      <c r="AK1" s="98" t="s">
        <v>18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>
        <v>2169</v>
      </c>
      <c r="G3" s="15"/>
      <c r="H3" s="15"/>
      <c r="I3" s="18"/>
      <c r="J3" s="16"/>
      <c r="K3" s="15"/>
      <c r="L3" s="15"/>
      <c r="M3" s="15"/>
      <c r="N3" s="15"/>
      <c r="O3" s="15"/>
      <c r="P3" s="15"/>
      <c r="Q3" s="15">
        <v>3184</v>
      </c>
      <c r="R3" s="15"/>
      <c r="S3" s="15"/>
      <c r="T3" s="15"/>
      <c r="U3" s="15"/>
      <c r="V3" s="15"/>
      <c r="W3" s="15"/>
      <c r="X3" s="15"/>
      <c r="Y3" s="15">
        <v>1594</v>
      </c>
      <c r="Z3" s="15"/>
      <c r="AA3" s="15"/>
      <c r="AB3" s="15"/>
      <c r="AC3" s="14"/>
      <c r="AD3" s="15"/>
      <c r="AE3" s="17"/>
      <c r="AF3" s="15"/>
      <c r="AG3" s="17"/>
      <c r="AH3" s="15"/>
      <c r="AI3" s="104">
        <f>(AJ3+AJ4)/31</f>
        <v>227</v>
      </c>
      <c r="AJ3" s="48">
        <f>SUM(D3:AH3)</f>
        <v>6947</v>
      </c>
      <c r="AK3" s="106">
        <v>100</v>
      </c>
    </row>
    <row r="4" spans="1:37" ht="18.95" customHeight="1" x14ac:dyDescent="0.3">
      <c r="A4" s="102"/>
      <c r="B4" s="103"/>
      <c r="C4" s="58" t="s">
        <v>24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>
        <v>40</v>
      </c>
      <c r="W4" s="18"/>
      <c r="X4" s="18"/>
      <c r="Y4" s="18"/>
      <c r="Z4" s="18"/>
      <c r="AA4" s="18"/>
      <c r="AB4" s="18">
        <v>50</v>
      </c>
      <c r="AC4" s="20"/>
      <c r="AD4" s="18"/>
      <c r="AE4" s="19"/>
      <c r="AF4" s="18"/>
      <c r="AG4" s="19"/>
      <c r="AH4" s="18"/>
      <c r="AI4" s="105"/>
      <c r="AJ4" s="48">
        <f>SUM(D4:AH4)</f>
        <v>90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23</v>
      </c>
      <c r="D5" s="2">
        <v>75</v>
      </c>
      <c r="E5" s="2">
        <v>8</v>
      </c>
      <c r="F5" s="2">
        <v>66</v>
      </c>
      <c r="G5" s="2">
        <v>10</v>
      </c>
      <c r="H5" s="2">
        <v>5</v>
      </c>
      <c r="I5" s="2"/>
      <c r="J5" s="22">
        <v>35</v>
      </c>
      <c r="K5" s="2">
        <v>23</v>
      </c>
      <c r="L5" s="2"/>
      <c r="M5" s="2">
        <v>75</v>
      </c>
      <c r="N5" s="2"/>
      <c r="O5" s="2"/>
      <c r="P5" s="2">
        <v>4</v>
      </c>
      <c r="Q5" s="2">
        <v>11</v>
      </c>
      <c r="R5" s="2">
        <v>26</v>
      </c>
      <c r="S5" s="2">
        <v>38</v>
      </c>
      <c r="T5" s="2"/>
      <c r="U5" s="2"/>
      <c r="V5" s="2">
        <v>33</v>
      </c>
      <c r="W5" s="2">
        <v>3</v>
      </c>
      <c r="X5" s="2">
        <v>49</v>
      </c>
      <c r="Y5" s="2">
        <v>10</v>
      </c>
      <c r="Z5" s="2">
        <v>14</v>
      </c>
      <c r="AA5" s="2">
        <v>50</v>
      </c>
      <c r="AB5" s="2">
        <v>17</v>
      </c>
      <c r="AC5" s="21"/>
      <c r="AD5" s="2"/>
      <c r="AE5" s="23">
        <v>8</v>
      </c>
      <c r="AF5" s="2">
        <v>29</v>
      </c>
      <c r="AG5" s="23">
        <v>12</v>
      </c>
      <c r="AH5" s="2"/>
      <c r="AI5" s="43">
        <f t="shared" ref="AI5:AI15" si="0">AJ5/31</f>
        <v>19.387096774193548</v>
      </c>
      <c r="AJ5" s="32">
        <f>SUM(D5,E5,F5,G5,H5,I5,J5,K5,L5,M5,N5,O5,P5,Q5,R5,S5,T5,U5,V5,W5,X5,Y5,Z5,AA5,AB5,AC5,AD5,AE5,AF5,AG5,AH5)</f>
        <v>601</v>
      </c>
      <c r="AK5" s="3">
        <f>(AJ5/(AJ3+AJ4))*100</f>
        <v>8.5405712661645588</v>
      </c>
    </row>
    <row r="6" spans="1:37" ht="18.95" customHeight="1" x14ac:dyDescent="0.3">
      <c r="A6" s="88"/>
      <c r="B6" s="90"/>
      <c r="C6" s="60" t="s">
        <v>6</v>
      </c>
      <c r="D6" s="4"/>
      <c r="E6" s="4">
        <v>11</v>
      </c>
      <c r="F6" s="4"/>
      <c r="G6" s="4">
        <v>20</v>
      </c>
      <c r="H6" s="4">
        <v>25</v>
      </c>
      <c r="I6" s="4"/>
      <c r="J6" s="24"/>
      <c r="K6" s="4">
        <v>10</v>
      </c>
      <c r="L6" s="4">
        <v>21</v>
      </c>
      <c r="M6" s="4"/>
      <c r="N6" s="4">
        <v>34</v>
      </c>
      <c r="O6" s="4"/>
      <c r="P6" s="4">
        <v>3</v>
      </c>
      <c r="Q6" s="4">
        <v>7</v>
      </c>
      <c r="R6" s="4">
        <v>21</v>
      </c>
      <c r="S6" s="4">
        <v>20</v>
      </c>
      <c r="T6" s="4">
        <v>53</v>
      </c>
      <c r="U6" s="4">
        <v>47</v>
      </c>
      <c r="V6" s="4"/>
      <c r="W6" s="4">
        <v>29</v>
      </c>
      <c r="X6" s="4">
        <v>27</v>
      </c>
      <c r="Y6" s="4">
        <v>13</v>
      </c>
      <c r="Z6" s="4"/>
      <c r="AA6" s="4">
        <v>12</v>
      </c>
      <c r="AB6" s="4">
        <v>25</v>
      </c>
      <c r="AC6" s="25"/>
      <c r="AD6" s="4">
        <v>35</v>
      </c>
      <c r="AE6" s="24"/>
      <c r="AF6" s="4">
        <v>17</v>
      </c>
      <c r="AG6" s="24">
        <v>27</v>
      </c>
      <c r="AH6" s="4"/>
      <c r="AI6" s="44">
        <f t="shared" si="0"/>
        <v>14.741935483870968</v>
      </c>
      <c r="AJ6" s="33">
        <f>SUM(D6,E6,F6,G6,H6,I6,J6,K6,L6,M6,N6,O6,P6,Q6,R6,S6,T6,U6,V6,W6,X6,Y6,Z6,AA6,AB6,AC6,AD6,AE6,AF6,AG6,AH6)</f>
        <v>457</v>
      </c>
      <c r="AK6" s="5">
        <f>(AJ6/(AJ3+AJ4))*100</f>
        <v>6.4942447065510871</v>
      </c>
    </row>
    <row r="7" spans="1:37" ht="18.95" customHeight="1" x14ac:dyDescent="0.3">
      <c r="A7" s="88"/>
      <c r="B7" s="90"/>
      <c r="C7" s="60" t="s">
        <v>20</v>
      </c>
      <c r="D7" s="4"/>
      <c r="E7" s="4"/>
      <c r="F7" s="4"/>
      <c r="G7" s="4">
        <v>200</v>
      </c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>
        <v>200</v>
      </c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12.903225806451612</v>
      </c>
      <c r="AJ7" s="33">
        <f>SUM(D7,E7,F7,G7,H7,I7,J7,K7,L7,M7,N7,O7,P7,Q7,R7,S7,T7,U7,V7,W7,X7,Y7,Z7,AA7,AB7,AC7,AD7,AE7,AF7,AG7,AH7)</f>
        <v>400</v>
      </c>
      <c r="AK7" s="5">
        <f>(AJ7/(AJ3+AJ4))*100</f>
        <v>5.6842404433707552</v>
      </c>
    </row>
    <row r="8" spans="1:37" ht="18.95" customHeight="1" x14ac:dyDescent="0.3">
      <c r="A8" s="88"/>
      <c r="B8" s="90"/>
      <c r="C8" s="61" t="s">
        <v>21</v>
      </c>
      <c r="D8" s="39"/>
      <c r="E8" s="39">
        <v>54</v>
      </c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>
        <v>5</v>
      </c>
      <c r="S8" s="39">
        <v>66</v>
      </c>
      <c r="T8" s="39"/>
      <c r="U8" s="39"/>
      <c r="V8" s="39"/>
      <c r="W8" s="39"/>
      <c r="X8" s="39"/>
      <c r="Y8" s="39"/>
      <c r="Z8" s="39"/>
      <c r="AA8" s="39"/>
      <c r="AB8" s="39"/>
      <c r="AC8" s="38"/>
      <c r="AD8" s="39"/>
      <c r="AE8" s="40"/>
      <c r="AF8" s="39"/>
      <c r="AG8" s="40"/>
      <c r="AH8" s="39"/>
      <c r="AI8" s="47">
        <f t="shared" si="0"/>
        <v>4.032258064516129</v>
      </c>
      <c r="AJ8" s="41">
        <f>SUM(D8,E8,F8,G8,H8,I8,J8,K8,L8,M8,N8,O8,P8,Q8,R8,S8,T8,U8,V8,W8,X8,Y8,Z8,AA8,AB8,AC8,AD8,AE8,AF8,AG8,AH8)</f>
        <v>125</v>
      </c>
      <c r="AK8" s="42">
        <f>(AJ8/(AJ3+AJ4))*100</f>
        <v>1.7763251385533609</v>
      </c>
    </row>
    <row r="9" spans="1:37" ht="18.95" customHeight="1" x14ac:dyDescent="0.3">
      <c r="A9" s="88"/>
      <c r="B9" s="90"/>
      <c r="C9" s="59" t="s">
        <v>5</v>
      </c>
      <c r="D9" s="2"/>
      <c r="E9" s="2"/>
      <c r="F9" s="2">
        <v>24</v>
      </c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>
        <v>126</v>
      </c>
      <c r="AC9" s="21"/>
      <c r="AD9" s="2"/>
      <c r="AE9" s="23"/>
      <c r="AF9" s="2"/>
      <c r="AG9" s="23"/>
      <c r="AH9" s="2"/>
      <c r="AI9" s="43">
        <f t="shared" si="0"/>
        <v>4.838709677419355</v>
      </c>
      <c r="AJ9" s="32">
        <f>SUM(D9,E9,F9,G9,H9,I9,J9,K9,L9,M9,N9,O9,P9,Q9,R9,S9,T9,U9,V9,W9,X9,Y9,Z9,AA9,AB9,AC9,AD9,AE9,AF9,AG9,AH9)</f>
        <v>150</v>
      </c>
      <c r="AK9" s="3">
        <f>(AJ9/(AJ3+AJ4))*100</f>
        <v>2.1315901662640329</v>
      </c>
    </row>
    <row r="10" spans="1:37" ht="18.95" customHeight="1" x14ac:dyDescent="0.3">
      <c r="A10" s="88"/>
      <c r="B10" s="90"/>
      <c r="C10" s="60" t="s">
        <v>29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7</v>
      </c>
      <c r="D11" s="2"/>
      <c r="E11" s="2"/>
      <c r="F11" s="2"/>
      <c r="G11" s="2">
        <v>80</v>
      </c>
      <c r="H11" s="2"/>
      <c r="I11" s="2"/>
      <c r="J11" s="22"/>
      <c r="K11" s="2"/>
      <c r="L11" s="2"/>
      <c r="M11" s="2"/>
      <c r="N11" s="2"/>
      <c r="O11" s="2"/>
      <c r="P11" s="2"/>
      <c r="Q11" s="2"/>
      <c r="R11" s="2"/>
      <c r="S11" s="2">
        <v>840</v>
      </c>
      <c r="T11" s="2"/>
      <c r="U11" s="2"/>
      <c r="V11" s="2"/>
      <c r="W11" s="2">
        <v>4</v>
      </c>
      <c r="X11" s="2"/>
      <c r="Y11" s="2"/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29.806451612903224</v>
      </c>
      <c r="AJ11" s="32">
        <f>SUM(D11,E11,F11,G11,H11,I11,J11,K11,L11,M11,N11,O11,P11,Q11,R11,S11,T11,U11,V11,W11,X11,Y11,Z11,AA11,AB11,AC11,AD11,AE11,AF11,AG11,AH11)</f>
        <v>924</v>
      </c>
      <c r="AK11" s="3">
        <f>(AJ11/(AJ3+AJ4))*100</f>
        <v>13.130595424186442</v>
      </c>
    </row>
    <row r="12" spans="1:37" ht="18.95" customHeight="1" x14ac:dyDescent="0.3">
      <c r="A12" s="88"/>
      <c r="B12" s="91" t="s">
        <v>4</v>
      </c>
      <c r="C12" s="62" t="s">
        <v>8</v>
      </c>
      <c r="D12" s="6"/>
      <c r="E12" s="6"/>
      <c r="F12" s="6"/>
      <c r="G12" s="6">
        <v>32</v>
      </c>
      <c r="H12" s="6"/>
      <c r="I12" s="6"/>
      <c r="J12" s="26"/>
      <c r="K12" s="6"/>
      <c r="L12" s="6"/>
      <c r="M12" s="6"/>
      <c r="N12" s="6">
        <v>44</v>
      </c>
      <c r="O12" s="6">
        <v>100</v>
      </c>
      <c r="P12" s="6"/>
      <c r="Q12" s="6"/>
      <c r="R12" s="6"/>
      <c r="S12" s="6"/>
      <c r="T12" s="6">
        <v>50</v>
      </c>
      <c r="U12" s="6">
        <v>22</v>
      </c>
      <c r="V12" s="6">
        <v>20</v>
      </c>
      <c r="W12" s="6"/>
      <c r="X12" s="6"/>
      <c r="Y12" s="6"/>
      <c r="Z12" s="6"/>
      <c r="AA12" s="6">
        <v>42</v>
      </c>
      <c r="AB12" s="6"/>
      <c r="AC12" s="27"/>
      <c r="AD12" s="6">
        <v>50</v>
      </c>
      <c r="AE12" s="26"/>
      <c r="AF12" s="6"/>
      <c r="AG12" s="26">
        <v>42</v>
      </c>
      <c r="AH12" s="6"/>
      <c r="AI12" s="45">
        <f t="shared" si="0"/>
        <v>12.96774193548387</v>
      </c>
      <c r="AJ12" s="34">
        <f>SUM(D12,E12,F12,G12,H12,I12,J12,K12,L12,M12,N12,O12,P12,Q12,R12,S12,T12,U12,V12,W12,X12,Y12,Z12,AA12,AB12,AC12,AD12,AE12,AF12,AG12,AH12)</f>
        <v>402</v>
      </c>
      <c r="AK12" s="7">
        <f>(AJ12/(AJ3+AJ4))*100</f>
        <v>5.7126616455876089</v>
      </c>
    </row>
    <row r="13" spans="1:37" ht="18.95" customHeight="1" x14ac:dyDescent="0.3">
      <c r="A13" s="88"/>
      <c r="B13" s="92"/>
      <c r="C13" s="62" t="s">
        <v>30</v>
      </c>
      <c r="D13" s="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>
        <v>24</v>
      </c>
      <c r="U13" s="8"/>
      <c r="V13" s="8"/>
      <c r="W13" s="8"/>
      <c r="X13" s="8"/>
      <c r="Y13" s="8"/>
      <c r="Z13" s="8"/>
      <c r="AA13" s="8">
        <v>20</v>
      </c>
      <c r="AB13" s="8"/>
      <c r="AC13" s="28"/>
      <c r="AD13" s="8">
        <v>43</v>
      </c>
      <c r="AE13" s="30"/>
      <c r="AF13" s="8"/>
      <c r="AG13" s="30"/>
      <c r="AH13" s="8"/>
      <c r="AI13" s="46">
        <f t="shared" si="0"/>
        <v>2.806451612903226</v>
      </c>
      <c r="AJ13" s="35">
        <f>SUM(D13,E13,F13,G13,H13,I13,J13,K13,L13,M13,N13,O13,P13,Q13,R13,S13,T13,U13,V13,W13,X13,Y13,Z13,AA13,AB13,AC13,AD13,AE13,AF13,AG13,AH13)</f>
        <v>87</v>
      </c>
      <c r="AK13" s="9">
        <f>(AJ13/(AJ3+AJ4))*100</f>
        <v>1.2363222964331391</v>
      </c>
    </row>
    <row r="14" spans="1:37" ht="18.95" customHeight="1" x14ac:dyDescent="0.3">
      <c r="A14" s="88"/>
      <c r="B14" s="92"/>
      <c r="C14" s="56" t="s">
        <v>27</v>
      </c>
      <c r="D14" s="6"/>
      <c r="E14" s="6"/>
      <c r="F14" s="6"/>
      <c r="G14" s="6"/>
      <c r="H14" s="6"/>
      <c r="I14" s="6"/>
      <c r="J14" s="26"/>
      <c r="K14" s="6"/>
      <c r="L14" s="6">
        <v>40</v>
      </c>
      <c r="M14" s="6"/>
      <c r="N14" s="6"/>
      <c r="O14" s="6"/>
      <c r="P14" s="6"/>
      <c r="Q14" s="6"/>
      <c r="R14" s="6"/>
      <c r="S14" s="6">
        <v>76</v>
      </c>
      <c r="T14" s="6"/>
      <c r="U14" s="6"/>
      <c r="V14" s="6"/>
      <c r="W14" s="6"/>
      <c r="X14" s="6"/>
      <c r="Y14" s="6">
        <v>76</v>
      </c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6.193548387096774</v>
      </c>
      <c r="AJ14" s="34">
        <f t="shared" si="1"/>
        <v>192</v>
      </c>
      <c r="AK14" s="7">
        <f>(AJ14/(AJ3+AJ4))*100</f>
        <v>2.7284354128179622</v>
      </c>
    </row>
    <row r="15" spans="1:37" ht="18.95" customHeight="1" x14ac:dyDescent="0.3">
      <c r="A15" s="88"/>
      <c r="B15" s="92"/>
      <c r="C15" s="68" t="s">
        <v>4</v>
      </c>
      <c r="D15" s="51"/>
      <c r="E15" s="51"/>
      <c r="F15" s="51"/>
      <c r="G15" s="51">
        <v>40</v>
      </c>
      <c r="H15" s="51"/>
      <c r="I15" s="51"/>
      <c r="J15" s="50"/>
      <c r="K15" s="51">
        <v>80</v>
      </c>
      <c r="L15" s="51">
        <v>80</v>
      </c>
      <c r="M15" s="51"/>
      <c r="N15" s="51">
        <v>40</v>
      </c>
      <c r="O15" s="51"/>
      <c r="P15" s="51"/>
      <c r="Q15" s="51"/>
      <c r="R15" s="51"/>
      <c r="S15" s="51"/>
      <c r="T15" s="51"/>
      <c r="U15" s="51"/>
      <c r="V15" s="51">
        <v>40</v>
      </c>
      <c r="W15" s="51"/>
      <c r="X15" s="51"/>
      <c r="Y15" s="51"/>
      <c r="Z15" s="51">
        <v>63</v>
      </c>
      <c r="AA15" s="51">
        <v>42</v>
      </c>
      <c r="AB15" s="51">
        <v>21</v>
      </c>
      <c r="AC15" s="52"/>
      <c r="AD15" s="51"/>
      <c r="AE15" s="50">
        <v>42</v>
      </c>
      <c r="AF15" s="51"/>
      <c r="AG15" s="50">
        <v>42</v>
      </c>
      <c r="AH15" s="51"/>
      <c r="AI15" s="45">
        <f t="shared" si="0"/>
        <v>15.806451612903226</v>
      </c>
      <c r="AJ15" s="34">
        <f>SUM(D15,E15,F15,G15,H15,I15,J15,K15,L15,M15,N15,O15,P15,Q15,R15,S15,T15,U15,V15,W15,X15,Y15,Z15,AA15,AB15,AC15,AD15,AE15,AF15,AG15,AH15)</f>
        <v>490</v>
      </c>
      <c r="AK15" s="7">
        <f>(AJ15/(AJ3+AJ4))*100</f>
        <v>6.9631945431291742</v>
      </c>
    </row>
    <row r="16" spans="1:37" ht="18.399999999999999" customHeight="1" x14ac:dyDescent="0.3">
      <c r="A16" s="89"/>
      <c r="B16" s="69" t="s">
        <v>9</v>
      </c>
      <c r="C16" s="65"/>
      <c r="D16" s="80">
        <f>SUM(D5:I15)+133</f>
        <v>783</v>
      </c>
      <c r="E16" s="81"/>
      <c r="F16" s="81"/>
      <c r="G16" s="81"/>
      <c r="H16" s="81"/>
      <c r="I16" s="82"/>
      <c r="J16" s="80">
        <f>SUM(J5:P15)</f>
        <v>589</v>
      </c>
      <c r="K16" s="81"/>
      <c r="L16" s="81"/>
      <c r="M16" s="81"/>
      <c r="N16" s="81"/>
      <c r="O16" s="81"/>
      <c r="P16" s="82"/>
      <c r="Q16" s="80">
        <f>SUM(Q5:W15)</f>
        <v>1635</v>
      </c>
      <c r="R16" s="81"/>
      <c r="S16" s="81"/>
      <c r="T16" s="81"/>
      <c r="U16" s="81"/>
      <c r="V16" s="81"/>
      <c r="W16" s="82"/>
      <c r="X16" s="80">
        <f>SUM(X5:AD15)</f>
        <v>735</v>
      </c>
      <c r="Y16" s="81"/>
      <c r="Z16" s="81"/>
      <c r="AA16" s="81"/>
      <c r="AB16" s="81"/>
      <c r="AC16" s="81"/>
      <c r="AD16" s="82"/>
      <c r="AE16" s="80">
        <f>SUM(AE5:AG15)</f>
        <v>219</v>
      </c>
      <c r="AF16" s="81"/>
      <c r="AG16" s="82"/>
      <c r="AH16" s="66"/>
      <c r="AI16" s="53">
        <f>AJ16/31</f>
        <v>123.48387096774194</v>
      </c>
      <c r="AJ16" s="49">
        <f>SUM(AJ5,AJ6,AJ7,AJ8,AJ9,AJ10,AJ11,AJ12,AJ13,AJ14,AJ15)</f>
        <v>3828</v>
      </c>
      <c r="AK16" s="10">
        <f>SUM(AK5,AK6,AK7,AK8,AK9,AK10,AK11,AK12,AK13,AK14,AK15)</f>
        <v>54.398181043058116</v>
      </c>
    </row>
    <row r="17" spans="1:37" ht="18" customHeight="1" x14ac:dyDescent="0.3">
      <c r="A17" s="114" t="s">
        <v>25</v>
      </c>
      <c r="B17" s="121"/>
      <c r="C17" s="122"/>
      <c r="D17" s="116">
        <v>9113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8"/>
    </row>
    <row r="18" spans="1:37" ht="18" customHeight="1" x14ac:dyDescent="0.3">
      <c r="A18" s="109" t="s">
        <v>19</v>
      </c>
      <c r="B18" s="109"/>
      <c r="C18" s="110"/>
      <c r="D18" s="120">
        <f>(AJ3+AJ4)-AJ16</f>
        <v>3209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45.601818956941884</v>
      </c>
    </row>
    <row r="19" spans="1:37" ht="18" customHeight="1" x14ac:dyDescent="0.3">
      <c r="A19" s="108" t="s">
        <v>26</v>
      </c>
      <c r="B19" s="109"/>
      <c r="C19" s="110"/>
      <c r="D19" s="111">
        <f>(AJ3+AJ4+D17)-AJ16</f>
        <v>12322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28</v>
      </c>
    </row>
  </sheetData>
  <mergeCells count="21">
    <mergeCell ref="A19:C19"/>
    <mergeCell ref="D19:AJ19"/>
    <mergeCell ref="D16:I16"/>
    <mergeCell ref="J16:P16"/>
    <mergeCell ref="Q16:W16"/>
    <mergeCell ref="X16:AD16"/>
    <mergeCell ref="AE16:AG16"/>
    <mergeCell ref="A17:C17"/>
    <mergeCell ref="D17:AJ17"/>
    <mergeCell ref="A18:C18"/>
    <mergeCell ref="D18:AJ18"/>
    <mergeCell ref="A5:A16"/>
    <mergeCell ref="B5:B11"/>
    <mergeCell ref="B12:B15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24"/>
  <sheetViews>
    <sheetView tabSelected="1"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13</v>
      </c>
      <c r="E1" s="36" t="s">
        <v>12</v>
      </c>
      <c r="F1" s="36" t="s">
        <v>11</v>
      </c>
      <c r="G1" s="37" t="s">
        <v>10</v>
      </c>
      <c r="H1" s="55" t="s">
        <v>16</v>
      </c>
      <c r="I1" s="36" t="s">
        <v>15</v>
      </c>
      <c r="J1" s="37" t="s">
        <v>14</v>
      </c>
      <c r="K1" s="36" t="s">
        <v>13</v>
      </c>
      <c r="L1" s="36" t="s">
        <v>12</v>
      </c>
      <c r="M1" s="36" t="s">
        <v>11</v>
      </c>
      <c r="N1" s="37" t="s">
        <v>10</v>
      </c>
      <c r="O1" s="55" t="s">
        <v>16</v>
      </c>
      <c r="P1" s="36" t="s">
        <v>15</v>
      </c>
      <c r="Q1" s="37" t="s">
        <v>14</v>
      </c>
      <c r="R1" s="36" t="s">
        <v>13</v>
      </c>
      <c r="S1" s="36" t="s">
        <v>12</v>
      </c>
      <c r="T1" s="36" t="s">
        <v>11</v>
      </c>
      <c r="U1" s="37" t="s">
        <v>10</v>
      </c>
      <c r="V1" s="55" t="s">
        <v>16</v>
      </c>
      <c r="W1" s="36" t="s">
        <v>15</v>
      </c>
      <c r="X1" s="37" t="s">
        <v>14</v>
      </c>
      <c r="Y1" s="36" t="s">
        <v>13</v>
      </c>
      <c r="Z1" s="36" t="s">
        <v>12</v>
      </c>
      <c r="AA1" s="36" t="s">
        <v>11</v>
      </c>
      <c r="AB1" s="37" t="s">
        <v>10</v>
      </c>
      <c r="AC1" s="55" t="s">
        <v>16</v>
      </c>
      <c r="AD1" s="36" t="s">
        <v>15</v>
      </c>
      <c r="AE1" s="37" t="s">
        <v>14</v>
      </c>
      <c r="AF1" s="36" t="s">
        <v>13</v>
      </c>
      <c r="AG1" s="36" t="s">
        <v>12</v>
      </c>
      <c r="AH1" s="36" t="s">
        <v>11</v>
      </c>
      <c r="AI1" s="94" t="s">
        <v>22</v>
      </c>
      <c r="AJ1" s="96" t="s">
        <v>17</v>
      </c>
      <c r="AK1" s="98" t="s">
        <v>18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>
        <v>2307</v>
      </c>
      <c r="J3" s="16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>
        <v>1603</v>
      </c>
      <c r="AA3" s="15"/>
      <c r="AB3" s="15"/>
      <c r="AC3" s="14"/>
      <c r="AD3" s="15"/>
      <c r="AE3" s="17"/>
      <c r="AF3" s="15"/>
      <c r="AG3" s="17"/>
      <c r="AH3" s="15"/>
      <c r="AI3" s="104">
        <f>(AJ3+AJ4)/31</f>
        <v>142.38709677419354</v>
      </c>
      <c r="AJ3" s="48">
        <f>SUM(D3:AH3)</f>
        <v>3910</v>
      </c>
      <c r="AK3" s="106">
        <v>100</v>
      </c>
    </row>
    <row r="4" spans="1:37" ht="18.95" customHeight="1" x14ac:dyDescent="0.3">
      <c r="A4" s="102"/>
      <c r="B4" s="103"/>
      <c r="C4" s="58" t="s">
        <v>24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>
        <v>504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105"/>
      <c r="AJ4" s="48">
        <f>SUM(D4:AH4)</f>
        <v>504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23</v>
      </c>
      <c r="D5" s="2">
        <v>27</v>
      </c>
      <c r="E5" s="2"/>
      <c r="F5" s="2"/>
      <c r="G5" s="2"/>
      <c r="H5" s="2">
        <v>14</v>
      </c>
      <c r="I5" s="2">
        <v>43</v>
      </c>
      <c r="J5" s="22"/>
      <c r="K5" s="2"/>
      <c r="L5" s="2"/>
      <c r="M5" s="2"/>
      <c r="N5" s="2">
        <v>4</v>
      </c>
      <c r="O5" s="2"/>
      <c r="P5" s="2">
        <v>12</v>
      </c>
      <c r="Q5" s="2">
        <v>43</v>
      </c>
      <c r="R5" s="2">
        <v>25</v>
      </c>
      <c r="S5" s="2">
        <v>8</v>
      </c>
      <c r="T5" s="2">
        <v>11</v>
      </c>
      <c r="U5" s="2"/>
      <c r="V5" s="2">
        <v>83</v>
      </c>
      <c r="W5" s="2">
        <v>28</v>
      </c>
      <c r="X5" s="2"/>
      <c r="Y5" s="2">
        <v>50</v>
      </c>
      <c r="Z5" s="2">
        <v>71</v>
      </c>
      <c r="AA5" s="2">
        <v>42</v>
      </c>
      <c r="AB5" s="2"/>
      <c r="AC5" s="21">
        <v>32</v>
      </c>
      <c r="AD5" s="2">
        <v>30</v>
      </c>
      <c r="AE5" s="23">
        <v>68</v>
      </c>
      <c r="AF5" s="2"/>
      <c r="AG5" s="23"/>
      <c r="AH5" s="2"/>
      <c r="AI5" s="43">
        <f t="shared" ref="AI5:AI15" si="0">AJ5/31</f>
        <v>19.06451612903226</v>
      </c>
      <c r="AJ5" s="32">
        <f>SUM(D5,E5,F5,G5,H5,I5,J5,K5,L5,M5,N5,O5,P5,Q5,R5,S5,T5,U5,V5,W5,X5,Y5,Z5,AA5,AB5,AC5,AD5,AE5,AF5,AG5,AH5)</f>
        <v>591</v>
      </c>
      <c r="AK5" s="3">
        <f>(AJ5/(AJ3+AJ4))*100</f>
        <v>13.389216130493883</v>
      </c>
    </row>
    <row r="6" spans="1:37" ht="18.95" customHeight="1" x14ac:dyDescent="0.3">
      <c r="A6" s="88"/>
      <c r="B6" s="90"/>
      <c r="C6" s="60" t="s">
        <v>6</v>
      </c>
      <c r="D6" s="4">
        <v>4</v>
      </c>
      <c r="E6" s="4">
        <v>23</v>
      </c>
      <c r="F6" s="4"/>
      <c r="G6" s="4">
        <v>29</v>
      </c>
      <c r="H6" s="4">
        <v>17</v>
      </c>
      <c r="I6" s="4">
        <v>14</v>
      </c>
      <c r="J6" s="24"/>
      <c r="K6" s="4">
        <v>22</v>
      </c>
      <c r="L6" s="4">
        <v>21</v>
      </c>
      <c r="M6" s="4"/>
      <c r="N6" s="4">
        <v>29</v>
      </c>
      <c r="O6" s="4">
        <v>22</v>
      </c>
      <c r="P6" s="4"/>
      <c r="Q6" s="4">
        <v>7</v>
      </c>
      <c r="R6" s="4">
        <v>12</v>
      </c>
      <c r="S6" s="4"/>
      <c r="T6" s="4">
        <v>23</v>
      </c>
      <c r="U6" s="4">
        <v>21</v>
      </c>
      <c r="V6" s="4">
        <v>22</v>
      </c>
      <c r="W6" s="4">
        <v>7</v>
      </c>
      <c r="X6" s="4">
        <v>15</v>
      </c>
      <c r="Y6" s="4">
        <v>12</v>
      </c>
      <c r="Z6" s="4">
        <v>10</v>
      </c>
      <c r="AA6" s="4">
        <v>30</v>
      </c>
      <c r="AB6" s="4">
        <v>25</v>
      </c>
      <c r="AC6" s="25">
        <v>17</v>
      </c>
      <c r="AD6" s="4">
        <v>4</v>
      </c>
      <c r="AE6" s="24">
        <v>38</v>
      </c>
      <c r="AF6" s="4">
        <v>7</v>
      </c>
      <c r="AG6" s="24">
        <v>28</v>
      </c>
      <c r="AH6" s="4"/>
      <c r="AI6" s="44">
        <f t="shared" si="0"/>
        <v>14.806451612903226</v>
      </c>
      <c r="AJ6" s="33">
        <f>SUM(D6,E6,F6,G6,H6,I6,J6,K6,L6,M6,N6,O6,P6,Q6,R6,S6,T6,U6,V6,W6,X6,Y6,Z6,AA6,AB6,AC6,AD6,AE6,AF6,AG6,AH6)</f>
        <v>459</v>
      </c>
      <c r="AK6" s="5">
        <f>(AJ6/(AJ3+AJ4))*100</f>
        <v>10.39873130946987</v>
      </c>
    </row>
    <row r="7" spans="1:37" ht="18.95" customHeight="1" x14ac:dyDescent="0.3">
      <c r="A7" s="88"/>
      <c r="B7" s="90"/>
      <c r="C7" s="60" t="s">
        <v>20</v>
      </c>
      <c r="D7" s="4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8"/>
      <c r="B8" s="90"/>
      <c r="C8" s="61" t="s">
        <v>21</v>
      </c>
      <c r="D8" s="39"/>
      <c r="E8" s="39"/>
      <c r="F8" s="39"/>
      <c r="G8" s="39"/>
      <c r="H8" s="39"/>
      <c r="I8" s="39"/>
      <c r="J8" s="40"/>
      <c r="K8" s="39"/>
      <c r="L8" s="39"/>
      <c r="M8" s="39"/>
      <c r="N8" s="39"/>
      <c r="O8" s="39">
        <v>21</v>
      </c>
      <c r="P8" s="39">
        <v>10</v>
      </c>
      <c r="Q8" s="39">
        <v>66</v>
      </c>
      <c r="R8" s="39"/>
      <c r="S8" s="39"/>
      <c r="T8" s="39"/>
      <c r="U8" s="39">
        <v>42</v>
      </c>
      <c r="V8" s="39"/>
      <c r="W8" s="39"/>
      <c r="X8" s="39"/>
      <c r="Y8" s="39"/>
      <c r="Z8" s="39"/>
      <c r="AA8" s="39"/>
      <c r="AB8" s="39"/>
      <c r="AC8" s="38"/>
      <c r="AD8" s="39"/>
      <c r="AE8" s="40">
        <v>13</v>
      </c>
      <c r="AF8" s="39"/>
      <c r="AG8" s="40"/>
      <c r="AH8" s="39"/>
      <c r="AI8" s="47">
        <f t="shared" si="0"/>
        <v>4.903225806451613</v>
      </c>
      <c r="AJ8" s="41">
        <f>SUM(D8,E8,F8,G8,H8,I8,J8,K8,L8,M8,N8,O8,P8,Q8,R8,S8,T8,U8,V8,W8,X8,Y8,Z8,AA8,AB8,AC8,AD8,AE8,AF8,AG8,AH8)</f>
        <v>152</v>
      </c>
      <c r="AK8" s="42">
        <f>(AJ8/(AJ3+AJ4))*100</f>
        <v>3.4435885817852285</v>
      </c>
    </row>
    <row r="9" spans="1:37" ht="18.95" customHeight="1" x14ac:dyDescent="0.3">
      <c r="A9" s="88"/>
      <c r="B9" s="90"/>
      <c r="C9" s="59" t="s">
        <v>5</v>
      </c>
      <c r="D9" s="2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>
        <v>211</v>
      </c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6.806451612903226</v>
      </c>
      <c r="AJ9" s="32">
        <f>SUM(D9,E9,F9,G9,H9,I9,J9,K9,L9,M9,N9,O9,P9,Q9,R9,S9,T9,U9,V9,W9,X9,Y9,Z9,AA9,AB9,AC9,AD9,AE9,AF9,AG9,AH9)</f>
        <v>211</v>
      </c>
      <c r="AK9" s="3">
        <f>(AJ9/(AJ3+AJ4))*100</f>
        <v>4.7802446760308115</v>
      </c>
    </row>
    <row r="10" spans="1:37" ht="18.95" customHeight="1" x14ac:dyDescent="0.3">
      <c r="A10" s="88"/>
      <c r="B10" s="90"/>
      <c r="C10" s="60" t="s">
        <v>29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>
        <v>273</v>
      </c>
      <c r="P10" s="4"/>
      <c r="Q10" s="4"/>
      <c r="R10" s="4">
        <v>1428</v>
      </c>
      <c r="S10" s="4"/>
      <c r="T10" s="4"/>
      <c r="U10" s="4">
        <v>105</v>
      </c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58.258064516129032</v>
      </c>
      <c r="AJ10" s="33">
        <f t="shared" ref="AJ10:AJ14" si="1">SUM(D10,E10,F10,G10,H10,I10,J10,K10,L10,M10,N10,O10,P10,Q10,R10,S10,T10,U10,V10,W10,X10,Y10,Z10,AA10,AB10,AC10,AD10,AE10,AF10,AG10,AH10)</f>
        <v>1806</v>
      </c>
      <c r="AK10" s="5">
        <f>(AJ10/(AJ3+AJ4))*100</f>
        <v>40.915269596737652</v>
      </c>
    </row>
    <row r="11" spans="1:37" ht="18.95" customHeight="1" x14ac:dyDescent="0.3">
      <c r="A11" s="88"/>
      <c r="B11" s="90"/>
      <c r="C11" s="60" t="s">
        <v>7</v>
      </c>
      <c r="D11" s="2"/>
      <c r="E11" s="2">
        <v>400</v>
      </c>
      <c r="F11" s="2"/>
      <c r="G11" s="2">
        <v>65</v>
      </c>
      <c r="H11" s="2">
        <v>30</v>
      </c>
      <c r="I11" s="2"/>
      <c r="J11" s="22"/>
      <c r="K11" s="2"/>
      <c r="L11" s="2"/>
      <c r="M11" s="2">
        <v>19</v>
      </c>
      <c r="N11" s="2"/>
      <c r="O11" s="2"/>
      <c r="P11" s="2"/>
      <c r="Q11" s="2">
        <v>6</v>
      </c>
      <c r="R11" s="2"/>
      <c r="S11" s="2"/>
      <c r="T11" s="2">
        <v>53</v>
      </c>
      <c r="U11" s="2"/>
      <c r="V11" s="2"/>
      <c r="W11" s="2"/>
      <c r="X11" s="2">
        <v>26</v>
      </c>
      <c r="Y11" s="2"/>
      <c r="Z11" s="2"/>
      <c r="AA11" s="2"/>
      <c r="AB11" s="2"/>
      <c r="AC11" s="21"/>
      <c r="AD11" s="2"/>
      <c r="AE11" s="23"/>
      <c r="AF11" s="2"/>
      <c r="AG11" s="23"/>
      <c r="AH11" s="2">
        <v>147</v>
      </c>
      <c r="AI11" s="43">
        <f t="shared" si="0"/>
        <v>24.06451612903226</v>
      </c>
      <c r="AJ11" s="32">
        <f>SUM(D11,E11,F11,G11,H11,I11,J11,K11,L11,M11,N11,O11,P11,Q11,R11,S11,T11,U11,V11,W11,X11,Y11,Z11,AA11,AB11,AC11,AD11,AE11,AF11,AG11,AH11)</f>
        <v>746</v>
      </c>
      <c r="AK11" s="3">
        <f>(AJ11/(AJ3+AJ4))*100</f>
        <v>16.900770276393295</v>
      </c>
    </row>
    <row r="12" spans="1:37" ht="18.95" customHeight="1" x14ac:dyDescent="0.3">
      <c r="A12" s="88"/>
      <c r="B12" s="91" t="s">
        <v>4</v>
      </c>
      <c r="C12" s="62" t="s">
        <v>8</v>
      </c>
      <c r="D12" s="6"/>
      <c r="E12" s="6">
        <v>34</v>
      </c>
      <c r="F12" s="6"/>
      <c r="G12" s="6"/>
      <c r="H12" s="6">
        <v>11</v>
      </c>
      <c r="I12" s="6"/>
      <c r="J12" s="26"/>
      <c r="K12" s="6"/>
      <c r="L12" s="6"/>
      <c r="M12" s="6"/>
      <c r="N12" s="6"/>
      <c r="O12" s="6"/>
      <c r="P12" s="6"/>
      <c r="Q12" s="6"/>
      <c r="R12" s="6"/>
      <c r="S12" s="6">
        <v>34</v>
      </c>
      <c r="T12" s="6">
        <v>42</v>
      </c>
      <c r="U12" s="6"/>
      <c r="V12" s="6"/>
      <c r="W12" s="6"/>
      <c r="X12" s="6"/>
      <c r="Y12" s="6">
        <v>40</v>
      </c>
      <c r="Z12" s="6"/>
      <c r="AA12" s="6">
        <v>60</v>
      </c>
      <c r="AB12" s="6"/>
      <c r="AC12" s="27"/>
      <c r="AD12" s="6"/>
      <c r="AE12" s="26"/>
      <c r="AF12" s="6"/>
      <c r="AG12" s="26">
        <v>21</v>
      </c>
      <c r="AH12" s="6">
        <v>63</v>
      </c>
      <c r="AI12" s="45">
        <f t="shared" si="0"/>
        <v>9.8387096774193541</v>
      </c>
      <c r="AJ12" s="34">
        <f>SUM(D12,E12,F12,G12,H12,I12,J12,K12,L12,M12,N12,O12,P12,Q12,R12,S12,T12,U12,V12,W12,X12,Y12,Z12,AA12,AB12,AC12,AD12,AE12,AF12,AG12,AH12)</f>
        <v>305</v>
      </c>
      <c r="AK12" s="7">
        <f>(AJ12/(AJ3+AJ4))*100</f>
        <v>6.9098323516085181</v>
      </c>
    </row>
    <row r="13" spans="1:37" ht="18.95" customHeight="1" x14ac:dyDescent="0.3">
      <c r="A13" s="88"/>
      <c r="B13" s="92"/>
      <c r="C13" s="62" t="s">
        <v>30</v>
      </c>
      <c r="D13" s="8"/>
      <c r="E13" s="8"/>
      <c r="F13" s="8"/>
      <c r="G13" s="8"/>
      <c r="H13" s="8">
        <v>10</v>
      </c>
      <c r="I13" s="8"/>
      <c r="J13" s="29"/>
      <c r="K13" s="8"/>
      <c r="L13" s="8"/>
      <c r="M13" s="8"/>
      <c r="N13" s="8"/>
      <c r="O13" s="8"/>
      <c r="P13" s="8"/>
      <c r="Q13" s="8"/>
      <c r="R13" s="8"/>
      <c r="S13" s="8">
        <v>21</v>
      </c>
      <c r="T13" s="8">
        <v>42</v>
      </c>
      <c r="U13" s="8"/>
      <c r="V13" s="8"/>
      <c r="W13" s="8"/>
      <c r="X13" s="8"/>
      <c r="Y13" s="8">
        <v>23</v>
      </c>
      <c r="Z13" s="8"/>
      <c r="AA13" s="8">
        <v>32</v>
      </c>
      <c r="AB13" s="8"/>
      <c r="AC13" s="28"/>
      <c r="AD13" s="8"/>
      <c r="AE13" s="30"/>
      <c r="AF13" s="8"/>
      <c r="AG13" s="30"/>
      <c r="AH13" s="8"/>
      <c r="AI13" s="46">
        <f t="shared" si="0"/>
        <v>4.129032258064516</v>
      </c>
      <c r="AJ13" s="35">
        <f>SUM(D13,E13,F13,G13,H13,I13,J13,K13,L13,M13,N13,O13,P13,Q13,R13,S13,T13,U13,V13,W13,X13,Y13,Z13,AA13,AB13,AC13,AD13,AE13,AF13,AG13,AH13)</f>
        <v>128</v>
      </c>
      <c r="AK13" s="9">
        <f>(AJ13/(AJ3+AJ4))*100</f>
        <v>2.8998640688717718</v>
      </c>
    </row>
    <row r="14" spans="1:37" ht="18.95" customHeight="1" x14ac:dyDescent="0.3">
      <c r="A14" s="88"/>
      <c r="B14" s="92"/>
      <c r="C14" s="56" t="s">
        <v>27</v>
      </c>
      <c r="D14" s="6"/>
      <c r="E14" s="6">
        <v>84</v>
      </c>
      <c r="F14" s="6">
        <v>168</v>
      </c>
      <c r="G14" s="6"/>
      <c r="H14" s="6"/>
      <c r="I14" s="6"/>
      <c r="J14" s="26"/>
      <c r="K14" s="6"/>
      <c r="L14" s="6"/>
      <c r="M14" s="6">
        <v>88</v>
      </c>
      <c r="N14" s="6"/>
      <c r="O14" s="6">
        <v>126</v>
      </c>
      <c r="P14" s="6"/>
      <c r="Q14" s="6"/>
      <c r="R14" s="6"/>
      <c r="S14" s="6"/>
      <c r="T14" s="6"/>
      <c r="U14" s="6">
        <v>239</v>
      </c>
      <c r="V14" s="6"/>
      <c r="W14" s="6"/>
      <c r="X14" s="6"/>
      <c r="Y14" s="6">
        <v>132</v>
      </c>
      <c r="Z14" s="6"/>
      <c r="AA14" s="6"/>
      <c r="AB14" s="6"/>
      <c r="AC14" s="27"/>
      <c r="AD14" s="6"/>
      <c r="AE14" s="26"/>
      <c r="AF14" s="6">
        <v>340</v>
      </c>
      <c r="AG14" s="26"/>
      <c r="AH14" s="6"/>
      <c r="AI14" s="45">
        <f t="shared" si="0"/>
        <v>37.967741935483872</v>
      </c>
      <c r="AJ14" s="34">
        <f t="shared" si="1"/>
        <v>1177</v>
      </c>
      <c r="AK14" s="7">
        <f>(AJ14/(AJ3+AJ4))*100</f>
        <v>26.665156320797461</v>
      </c>
    </row>
    <row r="15" spans="1:37" ht="18.95" customHeight="1" x14ac:dyDescent="0.3">
      <c r="A15" s="88"/>
      <c r="B15" s="92"/>
      <c r="C15" s="68" t="s">
        <v>4</v>
      </c>
      <c r="D15" s="51"/>
      <c r="E15" s="51"/>
      <c r="F15" s="51"/>
      <c r="G15" s="51">
        <v>105</v>
      </c>
      <c r="H15" s="51"/>
      <c r="I15" s="51"/>
      <c r="J15" s="50"/>
      <c r="K15" s="51"/>
      <c r="L15" s="51"/>
      <c r="M15" s="51">
        <v>18</v>
      </c>
      <c r="N15" s="51"/>
      <c r="O15" s="51"/>
      <c r="P15" s="51"/>
      <c r="Q15" s="51"/>
      <c r="R15" s="51"/>
      <c r="S15" s="51">
        <v>42</v>
      </c>
      <c r="T15" s="51"/>
      <c r="U15" s="51"/>
      <c r="V15" s="51"/>
      <c r="W15" s="51"/>
      <c r="X15" s="51"/>
      <c r="Y15" s="51">
        <v>42</v>
      </c>
      <c r="Z15" s="51"/>
      <c r="AA15" s="51"/>
      <c r="AB15" s="51">
        <v>94</v>
      </c>
      <c r="AC15" s="52"/>
      <c r="AD15" s="51"/>
      <c r="AE15" s="50"/>
      <c r="AF15" s="51"/>
      <c r="AG15" s="50">
        <v>38</v>
      </c>
      <c r="AH15" s="51">
        <v>168</v>
      </c>
      <c r="AI15" s="45">
        <f t="shared" si="0"/>
        <v>16.35483870967742</v>
      </c>
      <c r="AJ15" s="34">
        <f>SUM(D15,E15,F15,G15,H15,I15,J15,K15,L15,M15,N15,O15,P15,Q15,R15,S15,T15,U15,V15,W15,X15,Y15,Z15,AA15,AB15,AC15,AD15,AE15,AF15,AG15,AH15)</f>
        <v>507</v>
      </c>
      <c r="AK15" s="7">
        <f>(AJ15/(AJ3+AJ4))*100</f>
        <v>11.486180335296783</v>
      </c>
    </row>
    <row r="16" spans="1:37" ht="18.399999999999999" customHeight="1" x14ac:dyDescent="0.3">
      <c r="A16" s="89"/>
      <c r="B16" s="69" t="s">
        <v>9</v>
      </c>
      <c r="C16" s="65"/>
      <c r="D16" s="80">
        <f>SUM(D5:G15)+219</f>
        <v>1158</v>
      </c>
      <c r="E16" s="81"/>
      <c r="F16" s="81"/>
      <c r="G16" s="82"/>
      <c r="H16" s="80">
        <f>SUM(H5:N15)</f>
        <v>340</v>
      </c>
      <c r="I16" s="81"/>
      <c r="J16" s="81"/>
      <c r="K16" s="81"/>
      <c r="L16" s="81"/>
      <c r="M16" s="81"/>
      <c r="N16" s="82"/>
      <c r="O16" s="80">
        <f>SUM(O5:U15)</f>
        <v>2734</v>
      </c>
      <c r="P16" s="81"/>
      <c r="Q16" s="81"/>
      <c r="R16" s="81"/>
      <c r="S16" s="81"/>
      <c r="T16" s="81"/>
      <c r="U16" s="82"/>
      <c r="V16" s="80">
        <f>SUM(V5:AB15)</f>
        <v>1055</v>
      </c>
      <c r="W16" s="81"/>
      <c r="X16" s="81"/>
      <c r="Y16" s="81"/>
      <c r="Z16" s="81"/>
      <c r="AA16" s="81"/>
      <c r="AB16" s="82"/>
      <c r="AC16" s="80">
        <f>SUM(AC5:AH15)</f>
        <v>1014</v>
      </c>
      <c r="AD16" s="81"/>
      <c r="AE16" s="81"/>
      <c r="AF16" s="81"/>
      <c r="AG16" s="81"/>
      <c r="AH16" s="82"/>
      <c r="AI16" s="53">
        <f>AJ16/31</f>
        <v>196.19354838709677</v>
      </c>
      <c r="AJ16" s="49">
        <f>SUM(AJ5,AJ6,AJ7,AJ8,AJ9,AJ10,AJ11,AJ12,AJ13,AJ14,AJ15)</f>
        <v>6082</v>
      </c>
      <c r="AK16" s="10">
        <f>SUM(AK5,AK6,AK7,AK8,AK9,AK10,AK11,AK12,AK13,AK14,AK15)</f>
        <v>137.7888536474853</v>
      </c>
    </row>
    <row r="17" spans="1:37" ht="18" customHeight="1" x14ac:dyDescent="0.3">
      <c r="A17" s="114" t="s">
        <v>25</v>
      </c>
      <c r="B17" s="121"/>
      <c r="C17" s="122"/>
      <c r="D17" s="116">
        <v>12322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9"/>
    </row>
    <row r="18" spans="1:37" ht="18" customHeight="1" x14ac:dyDescent="0.3">
      <c r="A18" s="109" t="s">
        <v>19</v>
      </c>
      <c r="B18" s="109"/>
      <c r="C18" s="110"/>
      <c r="D18" s="120">
        <f>(AJ3+AJ4)-AJ16</f>
        <v>-1668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-37.788853647485276</v>
      </c>
    </row>
    <row r="19" spans="1:37" ht="18" customHeight="1" x14ac:dyDescent="0.3">
      <c r="A19" s="108" t="s">
        <v>26</v>
      </c>
      <c r="B19" s="109"/>
      <c r="C19" s="110"/>
      <c r="D19" s="111">
        <f>(AJ3+AJ4+D17)-AJ16</f>
        <v>10654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28</v>
      </c>
    </row>
  </sheetData>
  <mergeCells count="21">
    <mergeCell ref="A19:C19"/>
    <mergeCell ref="D19:AJ19"/>
    <mergeCell ref="D16:G16"/>
    <mergeCell ref="H16:N16"/>
    <mergeCell ref="O16:U16"/>
    <mergeCell ref="V16:AB16"/>
    <mergeCell ref="AC16:AH16"/>
    <mergeCell ref="A17:C17"/>
    <mergeCell ref="D17:AJ17"/>
    <mergeCell ref="A18:C18"/>
    <mergeCell ref="D18:AJ18"/>
    <mergeCell ref="A5:A16"/>
    <mergeCell ref="B5:B11"/>
    <mergeCell ref="B12:B15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Январь 2016</vt:lpstr>
      <vt:lpstr>Февраль 2016</vt:lpstr>
      <vt:lpstr>Март 2016</vt:lpstr>
      <vt:lpstr>Апрель 2016</vt:lpstr>
      <vt:lpstr>Май 2016</vt:lpstr>
      <vt:lpstr>Июнь 2016</vt:lpstr>
      <vt:lpstr>Июль 2016</vt:lpstr>
      <vt:lpstr>Август 2016</vt:lpstr>
      <vt:lpstr>Сентябрь 2016</vt:lpstr>
      <vt:lpstr>Октябрь 2016</vt:lpstr>
      <vt:lpstr>Ноябрь 2016</vt:lpstr>
      <vt:lpstr>Декабрь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2025-12-08T18:55:15Z</dcterms:modified>
</cp:coreProperties>
</file>