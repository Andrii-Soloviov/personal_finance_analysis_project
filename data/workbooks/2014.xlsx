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3653976-B341-4E70-B8AC-73DAC6EBFFA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Січень 2014" sheetId="16" r:id="rId1"/>
    <sheet name="Лютий 2014" sheetId="17" r:id="rId2"/>
    <sheet name="Березень 2014" sheetId="19" r:id="rId3"/>
    <sheet name="Квітень 2014" sheetId="20" r:id="rId4"/>
    <sheet name="Травень 2014" sheetId="21" r:id="rId5"/>
    <sheet name="Червень 2014" sheetId="22" r:id="rId6"/>
    <sheet name="Липень 2014" sheetId="23" r:id="rId7"/>
    <sheet name="Серпень 2014" sheetId="24" r:id="rId8"/>
    <sheet name="Вересень 2014" sheetId="25" r:id="rId9"/>
    <sheet name="Жовтень 2014" sheetId="26" r:id="rId10"/>
    <sheet name="Листопад 2014" sheetId="27" r:id="rId11"/>
    <sheet name="Грудень 2014" sheetId="2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6" i="28" l="1"/>
  <c r="Y16" i="28"/>
  <c r="R16" i="28"/>
  <c r="K16" i="28"/>
  <c r="D16" i="28"/>
  <c r="AJ15" i="28"/>
  <c r="AI15" i="28" s="1"/>
  <c r="AJ14" i="28"/>
  <c r="AI14" i="28" s="1"/>
  <c r="AJ13" i="28"/>
  <c r="AI13" i="28" s="1"/>
  <c r="AJ12" i="28"/>
  <c r="AI12" i="28" s="1"/>
  <c r="AJ11" i="28"/>
  <c r="AI11" i="28" s="1"/>
  <c r="AJ10" i="28"/>
  <c r="AI10" i="28" s="1"/>
  <c r="AJ9" i="28"/>
  <c r="AI9" i="28" s="1"/>
  <c r="AJ8" i="28"/>
  <c r="AI8" i="28" s="1"/>
  <c r="AJ7" i="28"/>
  <c r="AI7" i="28" s="1"/>
  <c r="AJ6" i="28"/>
  <c r="AJ4" i="28"/>
  <c r="AJ3" i="28"/>
  <c r="AI3" i="28" s="1"/>
  <c r="AK6" i="28" l="1"/>
  <c r="AK9" i="28"/>
  <c r="AK14" i="28"/>
  <c r="AK10" i="28"/>
  <c r="AI6" i="28"/>
  <c r="AK12" i="28"/>
  <c r="AK13" i="28"/>
  <c r="AK8" i="28"/>
  <c r="AK7" i="28"/>
  <c r="AK11" i="28"/>
  <c r="AK15" i="28"/>
  <c r="F16" i="27"/>
  <c r="D16" i="27" l="1"/>
  <c r="AA16" i="27"/>
  <c r="T16" i="27"/>
  <c r="M16" i="27"/>
  <c r="AJ15" i="27"/>
  <c r="AI15" i="27" s="1"/>
  <c r="AJ14" i="27"/>
  <c r="AI14" i="27" s="1"/>
  <c r="AJ13" i="27"/>
  <c r="AJ12" i="27"/>
  <c r="AI12" i="27" s="1"/>
  <c r="AJ11" i="27"/>
  <c r="AI11" i="27" s="1"/>
  <c r="AJ10" i="27"/>
  <c r="AI10" i="27" s="1"/>
  <c r="AJ9" i="27"/>
  <c r="AJ8" i="27"/>
  <c r="AI8" i="27" s="1"/>
  <c r="AJ7" i="27"/>
  <c r="AI7" i="27" s="1"/>
  <c r="AJ6" i="27"/>
  <c r="AI6" i="27" s="1"/>
  <c r="AJ5" i="27"/>
  <c r="AJ4" i="27"/>
  <c r="AJ3" i="27"/>
  <c r="AI3" i="27" s="1"/>
  <c r="AK8" i="27" l="1"/>
  <c r="AJ16" i="27"/>
  <c r="AI16" i="27" s="1"/>
  <c r="AK13" i="27"/>
  <c r="AK6" i="27"/>
  <c r="AK9" i="27"/>
  <c r="AK14" i="27"/>
  <c r="AI5" i="27"/>
  <c r="AK7" i="27"/>
  <c r="AI9" i="27"/>
  <c r="AK11" i="27"/>
  <c r="AI13" i="27"/>
  <c r="AK15" i="27"/>
  <c r="AK10" i="27"/>
  <c r="AK5" i="27"/>
  <c r="AK12" i="27"/>
  <c r="AD16" i="26"/>
  <c r="W16" i="26"/>
  <c r="P16" i="26"/>
  <c r="I16" i="26"/>
  <c r="D16" i="26"/>
  <c r="AJ15" i="26"/>
  <c r="AI15" i="26" s="1"/>
  <c r="AJ14" i="26"/>
  <c r="AI14" i="26" s="1"/>
  <c r="AJ13" i="26"/>
  <c r="AJ12" i="26"/>
  <c r="AI12" i="26" s="1"/>
  <c r="AJ11" i="26"/>
  <c r="AI11" i="26" s="1"/>
  <c r="AJ10" i="26"/>
  <c r="AI10" i="26" s="1"/>
  <c r="AJ9" i="26"/>
  <c r="AJ8" i="26"/>
  <c r="AI8" i="26" s="1"/>
  <c r="AJ7" i="26"/>
  <c r="AI7" i="26" s="1"/>
  <c r="AJ6" i="26"/>
  <c r="AI6" i="26" s="1"/>
  <c r="AJ5" i="26"/>
  <c r="AJ4" i="26"/>
  <c r="AJ3" i="26"/>
  <c r="AI3" i="26" s="1"/>
  <c r="D18" i="27" l="1"/>
  <c r="AK18" i="27"/>
  <c r="D19" i="27"/>
  <c r="AK16" i="27"/>
  <c r="AK9" i="26"/>
  <c r="AJ16" i="26"/>
  <c r="AI16" i="26" s="1"/>
  <c r="AK6" i="26"/>
  <c r="AK8" i="26"/>
  <c r="AK14" i="26"/>
  <c r="AK13" i="26"/>
  <c r="AI5" i="26"/>
  <c r="AK7" i="26"/>
  <c r="AI9" i="26"/>
  <c r="AK11" i="26"/>
  <c r="AI13" i="26"/>
  <c r="AK15" i="26"/>
  <c r="AK10" i="26"/>
  <c r="AK5" i="26"/>
  <c r="AK12" i="26"/>
  <c r="AF16" i="25"/>
  <c r="Y16" i="25"/>
  <c r="R16" i="25"/>
  <c r="K16" i="25"/>
  <c r="D16" i="25"/>
  <c r="D18" i="26" l="1"/>
  <c r="D19" i="26"/>
  <c r="AK18" i="26"/>
  <c r="AK16" i="26"/>
  <c r="AJ15" i="25"/>
  <c r="AI15" i="25" s="1"/>
  <c r="AJ14" i="25"/>
  <c r="AI14" i="25" s="1"/>
  <c r="AJ13" i="25"/>
  <c r="AJ12" i="25"/>
  <c r="AI12" i="25" s="1"/>
  <c r="AJ11" i="25"/>
  <c r="AI11" i="25" s="1"/>
  <c r="AJ10" i="25"/>
  <c r="AI10" i="25" s="1"/>
  <c r="AJ9" i="25"/>
  <c r="AJ8" i="25"/>
  <c r="AI8" i="25" s="1"/>
  <c r="AJ7" i="25"/>
  <c r="AI7" i="25" s="1"/>
  <c r="AJ6" i="25"/>
  <c r="AI6" i="25" s="1"/>
  <c r="AJ5" i="25"/>
  <c r="AJ4" i="25"/>
  <c r="AJ3" i="25"/>
  <c r="AI3" i="25" s="1"/>
  <c r="AK6" i="25" l="1"/>
  <c r="AK9" i="25"/>
  <c r="AK14" i="25"/>
  <c r="AK8" i="25"/>
  <c r="AJ16" i="25"/>
  <c r="AI16" i="25" s="1"/>
  <c r="AK10" i="25"/>
  <c r="AK13" i="25"/>
  <c r="AI5" i="25"/>
  <c r="AK7" i="25"/>
  <c r="AI9" i="25"/>
  <c r="AK11" i="25"/>
  <c r="AI13" i="25"/>
  <c r="AK15" i="25"/>
  <c r="AK5" i="25"/>
  <c r="AK12" i="25"/>
  <c r="D16" i="24"/>
  <c r="AB16" i="24"/>
  <c r="U16" i="24"/>
  <c r="N16" i="24"/>
  <c r="G16" i="24"/>
  <c r="AJ15" i="24"/>
  <c r="AI15" i="24" s="1"/>
  <c r="AJ14" i="24"/>
  <c r="AI14" i="24" s="1"/>
  <c r="AJ13" i="24"/>
  <c r="AJ12" i="24"/>
  <c r="AI12" i="24" s="1"/>
  <c r="AJ11" i="24"/>
  <c r="AI11" i="24" s="1"/>
  <c r="AJ10" i="24"/>
  <c r="AI10" i="24" s="1"/>
  <c r="AJ9" i="24"/>
  <c r="AI9" i="24" s="1"/>
  <c r="AJ8" i="24"/>
  <c r="AJ7" i="24"/>
  <c r="AI7" i="24" s="1"/>
  <c r="AJ6" i="24"/>
  <c r="AI6" i="24" s="1"/>
  <c r="AJ5" i="24"/>
  <c r="AJ4" i="24"/>
  <c r="AJ3" i="24"/>
  <c r="AK10" i="24" s="1"/>
  <c r="AK16" i="25" l="1"/>
  <c r="D18" i="25"/>
  <c r="AK18" i="25"/>
  <c r="D19" i="25"/>
  <c r="AI3" i="24"/>
  <c r="AK8" i="24"/>
  <c r="AK11" i="24"/>
  <c r="AJ16" i="24"/>
  <c r="AI16" i="24" s="1"/>
  <c r="AK7" i="24"/>
  <c r="AK14" i="24"/>
  <c r="AI8" i="24"/>
  <c r="AK12" i="24"/>
  <c r="AK13" i="24"/>
  <c r="AK15" i="24"/>
  <c r="AK6" i="24"/>
  <c r="AK9" i="24"/>
  <c r="AI5" i="24"/>
  <c r="AI13" i="24"/>
  <c r="AK5" i="24"/>
  <c r="D16" i="23"/>
  <c r="AE16" i="23"/>
  <c r="X16" i="23"/>
  <c r="Q16" i="23"/>
  <c r="J16" i="23"/>
  <c r="AJ15" i="23"/>
  <c r="AI15" i="23" s="1"/>
  <c r="AJ14" i="23"/>
  <c r="AJ13" i="23"/>
  <c r="AI13" i="23" s="1"/>
  <c r="AJ12" i="23"/>
  <c r="AJ11" i="23"/>
  <c r="AI11" i="23" s="1"/>
  <c r="AJ10" i="23"/>
  <c r="AJ9" i="23"/>
  <c r="AI9" i="23" s="1"/>
  <c r="AJ8" i="23"/>
  <c r="AJ7" i="23"/>
  <c r="AI7" i="23" s="1"/>
  <c r="AJ6" i="23"/>
  <c r="AJ5" i="23"/>
  <c r="AI5" i="23" s="1"/>
  <c r="AJ4" i="23"/>
  <c r="AJ3" i="23"/>
  <c r="AK16" i="24" l="1"/>
  <c r="D18" i="24"/>
  <c r="AK18" i="24"/>
  <c r="D19" i="24"/>
  <c r="AK6" i="23"/>
  <c r="AK14" i="23"/>
  <c r="AJ16" i="23"/>
  <c r="AI16" i="23" s="1"/>
  <c r="AK8" i="23"/>
  <c r="AK12" i="23"/>
  <c r="AK10" i="23"/>
  <c r="AK5" i="23"/>
  <c r="AK9" i="23"/>
  <c r="AK13" i="23"/>
  <c r="AI3" i="23"/>
  <c r="AI6" i="23"/>
  <c r="AI8" i="23"/>
  <c r="AI10" i="23"/>
  <c r="AI12" i="23"/>
  <c r="AI14" i="23"/>
  <c r="AK7" i="23"/>
  <c r="AK11" i="23"/>
  <c r="AK15" i="23"/>
  <c r="Z16" i="22"/>
  <c r="S16" i="22"/>
  <c r="L16" i="22"/>
  <c r="E16" i="22"/>
  <c r="AJ15" i="22"/>
  <c r="AI15" i="22" s="1"/>
  <c r="AJ14" i="22"/>
  <c r="AI14" i="22" s="1"/>
  <c r="AJ13" i="22"/>
  <c r="AI13" i="22" s="1"/>
  <c r="AJ12" i="22"/>
  <c r="AI12" i="22" s="1"/>
  <c r="AJ11" i="22"/>
  <c r="AI11" i="22" s="1"/>
  <c r="AJ10" i="22"/>
  <c r="AI10" i="22" s="1"/>
  <c r="AJ9" i="22"/>
  <c r="AI9" i="22" s="1"/>
  <c r="AJ8" i="22"/>
  <c r="AI8" i="22" s="1"/>
  <c r="AJ7" i="22"/>
  <c r="AI7" i="22" s="1"/>
  <c r="AJ6" i="22"/>
  <c r="AI6" i="22" s="1"/>
  <c r="AJ5" i="22"/>
  <c r="AI5" i="22" s="1"/>
  <c r="AJ4" i="22"/>
  <c r="AJ3" i="22"/>
  <c r="AI3" i="22" s="1"/>
  <c r="D18" i="23" l="1"/>
  <c r="AK18" i="23"/>
  <c r="D19" i="23"/>
  <c r="AK16" i="23"/>
  <c r="AJ16" i="22"/>
  <c r="AI16" i="22" s="1"/>
  <c r="AK6" i="22"/>
  <c r="AK10" i="22"/>
  <c r="AK14" i="22"/>
  <c r="AK8" i="22"/>
  <c r="AK12" i="22"/>
  <c r="AK7" i="22"/>
  <c r="AK11" i="22"/>
  <c r="AK13" i="22"/>
  <c r="AK15" i="22"/>
  <c r="AK5" i="22"/>
  <c r="AK9" i="22"/>
  <c r="AJ3" i="21"/>
  <c r="AK16" i="22" l="1"/>
  <c r="D19" i="22"/>
  <c r="D18" i="22"/>
  <c r="AK18" i="22"/>
  <c r="D16" i="21"/>
  <c r="AC16" i="21"/>
  <c r="V16" i="21"/>
  <c r="O16" i="21"/>
  <c r="H16" i="21"/>
  <c r="AJ15" i="21"/>
  <c r="AI15" i="21" s="1"/>
  <c r="AJ14" i="21"/>
  <c r="AJ13" i="21"/>
  <c r="AI13" i="21" s="1"/>
  <c r="AJ12" i="21"/>
  <c r="AJ11" i="21"/>
  <c r="AI11" i="21" s="1"/>
  <c r="AJ10" i="21"/>
  <c r="AJ9" i="21"/>
  <c r="AI9" i="21" s="1"/>
  <c r="AJ8" i="21"/>
  <c r="AJ7" i="21"/>
  <c r="AI7" i="21" s="1"/>
  <c r="AJ6" i="21"/>
  <c r="AJ5" i="21"/>
  <c r="AJ4" i="21"/>
  <c r="AJ16" i="21" l="1"/>
  <c r="AI16" i="21" s="1"/>
  <c r="AI5" i="21"/>
  <c r="AK6" i="21"/>
  <c r="AK10" i="21"/>
  <c r="AK14" i="21"/>
  <c r="AK8" i="21"/>
  <c r="AK12" i="21"/>
  <c r="AK5" i="21"/>
  <c r="AK7" i="21"/>
  <c r="AK9" i="21"/>
  <c r="AK11" i="21"/>
  <c r="AK13" i="21"/>
  <c r="AK15" i="21"/>
  <c r="AI3" i="21"/>
  <c r="AI6" i="21"/>
  <c r="AI8" i="21"/>
  <c r="AI10" i="21"/>
  <c r="AI12" i="21"/>
  <c r="AI14" i="21"/>
  <c r="D16" i="20"/>
  <c r="AE16" i="20"/>
  <c r="X16" i="20"/>
  <c r="Q16" i="20"/>
  <c r="J16" i="20"/>
  <c r="AJ15" i="20"/>
  <c r="AI15" i="20" s="1"/>
  <c r="AJ14" i="20"/>
  <c r="AI14" i="20" s="1"/>
  <c r="AJ13" i="20"/>
  <c r="AI13" i="20" s="1"/>
  <c r="AJ12" i="20"/>
  <c r="AI12" i="20" s="1"/>
  <c r="AJ11" i="20"/>
  <c r="AI11" i="20" s="1"/>
  <c r="AJ10" i="20"/>
  <c r="AI10" i="20" s="1"/>
  <c r="AJ9" i="20"/>
  <c r="AI9" i="20" s="1"/>
  <c r="AJ8" i="20"/>
  <c r="AI8" i="20" s="1"/>
  <c r="AJ7" i="20"/>
  <c r="AI7" i="20" s="1"/>
  <c r="AJ6" i="20"/>
  <c r="AI6" i="20" s="1"/>
  <c r="AJ5" i="20"/>
  <c r="AJ4" i="20"/>
  <c r="AJ3" i="20"/>
  <c r="AI3" i="20" s="1"/>
  <c r="AK18" i="21" l="1"/>
  <c r="D18" i="21"/>
  <c r="D19" i="21"/>
  <c r="AK16" i="21"/>
  <c r="AJ16" i="20"/>
  <c r="AI16" i="20" s="1"/>
  <c r="AK6" i="20"/>
  <c r="AI5" i="20"/>
  <c r="AK9" i="20"/>
  <c r="AK14" i="20"/>
  <c r="AK10" i="20"/>
  <c r="AK8" i="20"/>
  <c r="AK13" i="20"/>
  <c r="AK12" i="20"/>
  <c r="AK11" i="20"/>
  <c r="AK7" i="20"/>
  <c r="AK15" i="20"/>
  <c r="AK5" i="20"/>
  <c r="F16" i="19"/>
  <c r="AK16" i="20" l="1"/>
  <c r="D19" i="20"/>
  <c r="AK18" i="20"/>
  <c r="D18" i="20"/>
  <c r="D16" i="19"/>
  <c r="AA16" i="19"/>
  <c r="T16" i="19"/>
  <c r="M16" i="19"/>
  <c r="AJ15" i="19"/>
  <c r="AJ14" i="19"/>
  <c r="AI14" i="19" s="1"/>
  <c r="AJ13" i="19"/>
  <c r="AJ12" i="19"/>
  <c r="AI12" i="19" s="1"/>
  <c r="AJ11" i="19"/>
  <c r="AJ10" i="19"/>
  <c r="AI10" i="19" s="1"/>
  <c r="AJ9" i="19"/>
  <c r="AJ8" i="19"/>
  <c r="AI8" i="19" s="1"/>
  <c r="AJ7" i="19"/>
  <c r="AJ6" i="19"/>
  <c r="AI6" i="19" s="1"/>
  <c r="AJ5" i="19"/>
  <c r="AJ4" i="19"/>
  <c r="AJ3" i="19"/>
  <c r="AJ16" i="19" l="1"/>
  <c r="AI16" i="19" s="1"/>
  <c r="AI3" i="19"/>
  <c r="AK8" i="19"/>
  <c r="AK7" i="19"/>
  <c r="AK11" i="19"/>
  <c r="AK15" i="19"/>
  <c r="AK9" i="19"/>
  <c r="AK13" i="19"/>
  <c r="AK6" i="19"/>
  <c r="AK10" i="19"/>
  <c r="AI5" i="19"/>
  <c r="AK5" i="19"/>
  <c r="AI7" i="19"/>
  <c r="AI9" i="19"/>
  <c r="AI11" i="19"/>
  <c r="AI13" i="19"/>
  <c r="AI15" i="19"/>
  <c r="AK12" i="19"/>
  <c r="AK14" i="19"/>
  <c r="AA16" i="17"/>
  <c r="T16" i="17"/>
  <c r="M16" i="17"/>
  <c r="F16" i="17"/>
  <c r="D16" i="17"/>
  <c r="AK18" i="19" l="1"/>
  <c r="D18" i="19"/>
  <c r="D19" i="19"/>
  <c r="AK16" i="19"/>
  <c r="AJ15" i="17"/>
  <c r="AI15" i="17" s="1"/>
  <c r="AJ14" i="17"/>
  <c r="AI14" i="17" s="1"/>
  <c r="AJ13" i="17"/>
  <c r="AI13" i="17" s="1"/>
  <c r="AJ12" i="17"/>
  <c r="AI12" i="17" s="1"/>
  <c r="AJ11" i="17"/>
  <c r="AI11" i="17" s="1"/>
  <c r="AJ10" i="17"/>
  <c r="AI10" i="17" s="1"/>
  <c r="AJ9" i="17"/>
  <c r="AI9" i="17" s="1"/>
  <c r="AJ8" i="17"/>
  <c r="AI8" i="17" s="1"/>
  <c r="AJ7" i="17"/>
  <c r="AI7" i="17" s="1"/>
  <c r="AJ6" i="17"/>
  <c r="AI6" i="17" s="1"/>
  <c r="AJ5" i="17"/>
  <c r="AI5" i="17" s="1"/>
  <c r="AJ4" i="17"/>
  <c r="AJ3" i="17"/>
  <c r="AI3" i="17" s="1"/>
  <c r="AJ16" i="17" l="1"/>
  <c r="AI16" i="17" s="1"/>
  <c r="AK9" i="17"/>
  <c r="AK14" i="17"/>
  <c r="AK7" i="17"/>
  <c r="AK11" i="17"/>
  <c r="AK15" i="17"/>
  <c r="AK13" i="17"/>
  <c r="AK6" i="17"/>
  <c r="AK10" i="17"/>
  <c r="AK5" i="17"/>
  <c r="AK8" i="17"/>
  <c r="AK12" i="17"/>
  <c r="AD16" i="16"/>
  <c r="W16" i="16"/>
  <c r="P16" i="16"/>
  <c r="I16" i="16"/>
  <c r="D16" i="16"/>
  <c r="D18" i="17" l="1"/>
  <c r="D19" i="17"/>
  <c r="AK18" i="17"/>
  <c r="AK16" i="17"/>
  <c r="AJ5" i="16"/>
  <c r="AJ6" i="16"/>
  <c r="AJ12" i="16"/>
  <c r="AJ15" i="16"/>
  <c r="AI15" i="16" l="1"/>
  <c r="AJ14" i="16"/>
  <c r="AI14" i="16" s="1"/>
  <c r="AJ13" i="16"/>
  <c r="AI13" i="16" s="1"/>
  <c r="AJ11" i="16"/>
  <c r="AI11" i="16" s="1"/>
  <c r="AJ10" i="16"/>
  <c r="AJ9" i="16"/>
  <c r="AI9" i="16" s="1"/>
  <c r="AJ8" i="16"/>
  <c r="AI8" i="16" s="1"/>
  <c r="AJ7" i="16"/>
  <c r="AI7" i="16" s="1"/>
  <c r="AI6" i="16"/>
  <c r="AI5" i="16"/>
  <c r="AJ4" i="16"/>
  <c r="AJ3" i="16"/>
  <c r="AI3" i="16" s="1"/>
  <c r="AJ16" i="16" l="1"/>
  <c r="D19" i="16" s="1"/>
  <c r="AI10" i="16"/>
  <c r="AI12" i="16"/>
  <c r="AK7" i="16"/>
  <c r="AK11" i="16"/>
  <c r="AK15" i="16"/>
  <c r="AK9" i="16"/>
  <c r="AK13" i="16"/>
  <c r="AK14" i="16"/>
  <c r="AK5" i="16"/>
  <c r="AK6" i="16"/>
  <c r="AK8" i="16"/>
  <c r="AK10" i="16"/>
  <c r="AK12" i="16"/>
  <c r="AI16" i="16" l="1"/>
  <c r="AK18" i="16"/>
  <c r="D18" i="16"/>
  <c r="AK16" i="16"/>
  <c r="AJ5" i="28" l="1"/>
  <c r="AJ16" i="28" s="1"/>
  <c r="AI16" i="28" l="1"/>
  <c r="AK18" i="28"/>
  <c r="D18" i="28"/>
  <c r="D19" i="28"/>
  <c r="AK5" i="28"/>
  <c r="AK16" i="28" s="1"/>
  <c r="AI5" i="28"/>
</calcChain>
</file>

<file path=xl/sharedStrings.xml><?xml version="1.0" encoding="utf-8"?>
<sst xmlns="http://schemas.openxmlformats.org/spreadsheetml/2006/main" count="666" uniqueCount="33">
  <si>
    <t>Зарплата</t>
  </si>
  <si>
    <t>Квартира</t>
  </si>
  <si>
    <t>Алкоголь</t>
  </si>
  <si>
    <t>вс</t>
  </si>
  <si>
    <t>сб</t>
  </si>
  <si>
    <t>пт</t>
  </si>
  <si>
    <t>чт</t>
  </si>
  <si>
    <t>ср</t>
  </si>
  <si>
    <t>вт</t>
  </si>
  <si>
    <t>пн</t>
  </si>
  <si>
    <t>%</t>
  </si>
  <si>
    <t xml:space="preserve"> </t>
  </si>
  <si>
    <t>Доходи</t>
  </si>
  <si>
    <t>Інші доходи</t>
  </si>
  <si>
    <t>Витрати</t>
  </si>
  <si>
    <t>Потреби</t>
  </si>
  <si>
    <t>Харчування</t>
  </si>
  <si>
    <t>Проїзд</t>
  </si>
  <si>
    <t>Здоров'я</t>
  </si>
  <si>
    <t>Госп.Товари</t>
  </si>
  <si>
    <t>Борги</t>
  </si>
  <si>
    <t>Інші витрати</t>
  </si>
  <si>
    <t>Необов'язкове</t>
  </si>
  <si>
    <t>Заходи</t>
  </si>
  <si>
    <t>Розваги</t>
  </si>
  <si>
    <t>Всього</t>
  </si>
  <si>
    <t>Баланс на поч. міс.</t>
  </si>
  <si>
    <t>Прибуток</t>
  </si>
  <si>
    <t>Баланс на кін. міс.</t>
  </si>
  <si>
    <t>нд</t>
  </si>
  <si>
    <t>В середньому</t>
  </si>
  <si>
    <t>Всього за місяць</t>
  </si>
  <si>
    <t>Смаколики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</si>
</sst>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>
      <left/>
      <right/>
      <top/>
      <bottom/>
      <diagonal style="thin">
        <color auto="1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/>
      <right style="thin">
        <color indexed="64"/>
      </right>
      <top/>
      <bottom style="thin">
        <color indexed="64"/>
      </bottom>
      <diagonal style="thin">
        <color auto="1"/>
      </diagonal>
    </border>
    <border diagonalUp="1">
      <left/>
      <right style="thin">
        <color indexed="64"/>
      </right>
      <top/>
      <bottom/>
      <diagonal style="thin">
        <color auto="1"/>
      </diagonal>
    </border>
    <border diagonalUp="1">
      <left/>
      <right/>
      <top/>
      <bottom style="thin">
        <color indexed="64"/>
      </bottom>
      <diagonal style="thin">
        <color auto="1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/>
    <xf numFmtId="0" fontId="1" fillId="3" borderId="3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2" fillId="4" borderId="1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5" borderId="12" xfId="0" applyNumberFormat="1" applyFont="1" applyFill="1" applyBorder="1" applyAlignment="1">
      <alignment horizontal="center" vertical="center"/>
    </xf>
    <xf numFmtId="0" fontId="1" fillId="8" borderId="12" xfId="0" applyFont="1" applyFill="1" applyBorder="1"/>
    <xf numFmtId="0" fontId="1" fillId="8" borderId="1" xfId="0" applyFont="1" applyFill="1" applyBorder="1"/>
    <xf numFmtId="0" fontId="1" fillId="8" borderId="14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2" fontId="2" fillId="5" borderId="12" xfId="0" applyNumberFormat="1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/>
    <xf numFmtId="0" fontId="5" fillId="2" borderId="4" xfId="0" applyFont="1" applyFill="1" applyBorder="1"/>
    <xf numFmtId="0" fontId="5" fillId="3" borderId="3" xfId="0" applyFont="1" applyFill="1" applyBorder="1"/>
    <xf numFmtId="0" fontId="5" fillId="3" borderId="1" xfId="0" applyFont="1" applyFill="1" applyBorder="1"/>
    <xf numFmtId="0" fontId="5" fillId="3" borderId="4" xfId="0" applyFont="1" applyFill="1" applyBorder="1"/>
    <xf numFmtId="0" fontId="5" fillId="4" borderId="1" xfId="0" applyFont="1" applyFill="1" applyBorder="1"/>
    <xf numFmtId="0" fontId="2" fillId="6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textRotation="90"/>
    </xf>
    <xf numFmtId="0" fontId="4" fillId="7" borderId="3" xfId="0" applyFont="1" applyFill="1" applyBorder="1" applyAlignment="1">
      <alignment horizontal="center" vertical="center" textRotation="90"/>
    </xf>
    <xf numFmtId="0" fontId="4" fillId="7" borderId="4" xfId="0" applyFont="1" applyFill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 textRotation="90"/>
    </xf>
    <xf numFmtId="0" fontId="1" fillId="4" borderId="2" xfId="0" applyFont="1" applyFill="1" applyBorder="1" applyAlignment="1">
      <alignment horizontal="center" vertical="center" textRotation="90"/>
    </xf>
    <xf numFmtId="0" fontId="1" fillId="4" borderId="3" xfId="0" applyFont="1" applyFill="1" applyBorder="1" applyAlignment="1">
      <alignment horizontal="center" vertical="center" textRotation="90"/>
    </xf>
    <xf numFmtId="0" fontId="1" fillId="4" borderId="4" xfId="0" applyFont="1" applyFill="1" applyBorder="1" applyAlignment="1">
      <alignment horizontal="center" vertical="center" textRotation="90"/>
    </xf>
    <xf numFmtId="0" fontId="1" fillId="8" borderId="2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9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right"/>
    </xf>
    <xf numFmtId="0" fontId="2" fillId="6" borderId="14" xfId="0" applyFont="1" applyFill="1" applyBorder="1" applyAlignment="1">
      <alignment horizontal="right"/>
    </xf>
    <xf numFmtId="0" fontId="2" fillId="6" borderId="12" xfId="0" applyFont="1" applyFill="1" applyBorder="1" applyAlignment="1">
      <alignment horizontal="right"/>
    </xf>
    <xf numFmtId="0" fontId="2" fillId="6" borderId="14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right" vertical="center"/>
    </xf>
    <xf numFmtId="0" fontId="2" fillId="6" borderId="18" xfId="0" applyFont="1" applyFill="1" applyBorder="1" applyAlignment="1">
      <alignment horizontal="right" vertical="center"/>
    </xf>
    <xf numFmtId="0" fontId="2" fillId="6" borderId="14" xfId="0" applyFont="1" applyFill="1" applyBorder="1" applyAlignment="1">
      <alignment horizontal="right" vertical="center"/>
    </xf>
    <xf numFmtId="0" fontId="2" fillId="6" borderId="12" xfId="0" applyFont="1" applyFill="1" applyBorder="1" applyAlignment="1">
      <alignment horizontal="right" vertical="center"/>
    </xf>
    <xf numFmtId="0" fontId="2" fillId="6" borderId="1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00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9"/>
  <sheetViews>
    <sheetView tabSelected="1" zoomScale="78" zoomScaleNormal="78" workbookViewId="0">
      <selection activeCell="P24" sqref="P24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57031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2"/>
      <c r="B1" s="82"/>
      <c r="C1" s="83"/>
      <c r="D1" s="37" t="s">
        <v>7</v>
      </c>
      <c r="E1" s="36" t="s">
        <v>6</v>
      </c>
      <c r="F1" s="36" t="s">
        <v>5</v>
      </c>
      <c r="G1" s="36" t="s">
        <v>4</v>
      </c>
      <c r="H1" s="37" t="s">
        <v>29</v>
      </c>
      <c r="I1" s="56" t="s">
        <v>9</v>
      </c>
      <c r="J1" s="36" t="s">
        <v>8</v>
      </c>
      <c r="K1" s="37" t="s">
        <v>7</v>
      </c>
      <c r="L1" s="36" t="s">
        <v>6</v>
      </c>
      <c r="M1" s="36" t="s">
        <v>5</v>
      </c>
      <c r="N1" s="36" t="s">
        <v>4</v>
      </c>
      <c r="O1" s="37" t="s">
        <v>29</v>
      </c>
      <c r="P1" s="56" t="s">
        <v>9</v>
      </c>
      <c r="Q1" s="36" t="s">
        <v>8</v>
      </c>
      <c r="R1" s="37" t="s">
        <v>7</v>
      </c>
      <c r="S1" s="36" t="s">
        <v>6</v>
      </c>
      <c r="T1" s="36" t="s">
        <v>5</v>
      </c>
      <c r="U1" s="36" t="s">
        <v>4</v>
      </c>
      <c r="V1" s="37" t="s">
        <v>29</v>
      </c>
      <c r="W1" s="56" t="s">
        <v>9</v>
      </c>
      <c r="X1" s="36" t="s">
        <v>8</v>
      </c>
      <c r="Y1" s="37" t="s">
        <v>7</v>
      </c>
      <c r="Z1" s="36" t="s">
        <v>6</v>
      </c>
      <c r="AA1" s="36" t="s">
        <v>5</v>
      </c>
      <c r="AB1" s="36" t="s">
        <v>4</v>
      </c>
      <c r="AC1" s="37" t="s">
        <v>29</v>
      </c>
      <c r="AD1" s="56" t="s">
        <v>9</v>
      </c>
      <c r="AE1" s="36" t="s">
        <v>8</v>
      </c>
      <c r="AF1" s="37" t="s">
        <v>7</v>
      </c>
      <c r="AG1" s="36" t="s">
        <v>6</v>
      </c>
      <c r="AH1" s="36" t="s">
        <v>5</v>
      </c>
      <c r="AI1" s="86" t="s">
        <v>30</v>
      </c>
      <c r="AJ1" s="95" t="s">
        <v>31</v>
      </c>
      <c r="AK1" s="97" t="s">
        <v>10</v>
      </c>
    </row>
    <row r="2" spans="1:37" ht="18.95" customHeight="1" x14ac:dyDescent="0.3">
      <c r="A2" s="84"/>
      <c r="B2" s="84"/>
      <c r="C2" s="85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87"/>
      <c r="AJ2" s="96"/>
      <c r="AK2" s="98"/>
    </row>
    <row r="3" spans="1:37" ht="18.95" customHeight="1" x14ac:dyDescent="0.3">
      <c r="A3" s="99" t="s">
        <v>12</v>
      </c>
      <c r="B3" s="100"/>
      <c r="C3" s="58" t="s">
        <v>0</v>
      </c>
      <c r="D3" s="14"/>
      <c r="E3" s="15"/>
      <c r="F3" s="15">
        <v>3427</v>
      </c>
      <c r="G3" s="15"/>
      <c r="H3" s="15"/>
      <c r="I3" s="18"/>
      <c r="J3" s="16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>
        <v>970</v>
      </c>
      <c r="Z3" s="15"/>
      <c r="AA3" s="15"/>
      <c r="AB3" s="15"/>
      <c r="AC3" s="14"/>
      <c r="AD3" s="15"/>
      <c r="AE3" s="17"/>
      <c r="AF3" s="15"/>
      <c r="AG3" s="17"/>
      <c r="AH3" s="15"/>
      <c r="AI3" s="103">
        <f>AJ3/31</f>
        <v>141.83870967741936</v>
      </c>
      <c r="AJ3" s="48">
        <f>SUM(D3:AH3)</f>
        <v>4397</v>
      </c>
      <c r="AK3" s="105">
        <v>100</v>
      </c>
    </row>
    <row r="4" spans="1:37" ht="18.95" customHeight="1" x14ac:dyDescent="0.3">
      <c r="A4" s="101"/>
      <c r="B4" s="102"/>
      <c r="C4" s="59" t="s">
        <v>13</v>
      </c>
      <c r="D4" s="18"/>
      <c r="E4" s="18"/>
      <c r="F4" s="18">
        <v>25</v>
      </c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>
        <v>550</v>
      </c>
      <c r="V4" s="18">
        <v>200</v>
      </c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104"/>
      <c r="AJ4" s="48">
        <f>SUM(D4:AH4)</f>
        <v>775</v>
      </c>
      <c r="AK4" s="106"/>
    </row>
    <row r="5" spans="1:37" ht="18.95" customHeight="1" x14ac:dyDescent="0.3">
      <c r="A5" s="88" t="s">
        <v>14</v>
      </c>
      <c r="B5" s="91" t="s">
        <v>15</v>
      </c>
      <c r="C5" s="60" t="s">
        <v>16</v>
      </c>
      <c r="D5" s="21"/>
      <c r="E5" s="2"/>
      <c r="F5" s="2"/>
      <c r="G5" s="2">
        <v>40</v>
      </c>
      <c r="H5" s="2"/>
      <c r="I5" s="2"/>
      <c r="J5" s="22">
        <v>47</v>
      </c>
      <c r="K5" s="2"/>
      <c r="L5" s="2">
        <v>24</v>
      </c>
      <c r="M5" s="2">
        <v>57</v>
      </c>
      <c r="N5" s="2"/>
      <c r="O5" s="2">
        <v>21</v>
      </c>
      <c r="P5" s="2">
        <v>35</v>
      </c>
      <c r="Q5" s="2">
        <v>5</v>
      </c>
      <c r="R5" s="2">
        <v>21</v>
      </c>
      <c r="S5" s="2"/>
      <c r="T5" s="2"/>
      <c r="U5" s="2"/>
      <c r="V5" s="2">
        <v>13</v>
      </c>
      <c r="W5" s="2"/>
      <c r="X5" s="2">
        <v>18</v>
      </c>
      <c r="Y5" s="2">
        <v>13</v>
      </c>
      <c r="Z5" s="2"/>
      <c r="AA5" s="2">
        <v>99</v>
      </c>
      <c r="AB5" s="2">
        <v>60</v>
      </c>
      <c r="AC5" s="21"/>
      <c r="AD5" s="2">
        <v>22</v>
      </c>
      <c r="AE5" s="23"/>
      <c r="AF5" s="2"/>
      <c r="AG5" s="23"/>
      <c r="AH5" s="2"/>
      <c r="AI5" s="43">
        <f t="shared" ref="AI5:AI16" si="0">AJ5/31</f>
        <v>15.32258064516129</v>
      </c>
      <c r="AJ5" s="32">
        <f>SUM(D5,E5,F5,G5,H5,I5,J5,K5,L5,M5,N5,O5,P5,Q5,R5,S5,T5,U5,V5,W5,X5,Y5,Z5,AA5,AB5,AC5,AD5,AE5,AF5,AG5,AH5)</f>
        <v>475</v>
      </c>
      <c r="AK5" s="3">
        <f>(AJ5/(AJ3+AJ4))*100</f>
        <v>9.1840680587780366</v>
      </c>
    </row>
    <row r="6" spans="1:37" ht="18.95" customHeight="1" x14ac:dyDescent="0.3">
      <c r="A6" s="89"/>
      <c r="B6" s="91"/>
      <c r="C6" s="61" t="s">
        <v>17</v>
      </c>
      <c r="D6" s="4"/>
      <c r="E6" s="4">
        <v>18</v>
      </c>
      <c r="F6" s="4"/>
      <c r="G6" s="4">
        <v>25</v>
      </c>
      <c r="H6" s="4"/>
      <c r="I6" s="4"/>
      <c r="J6" s="24">
        <v>24</v>
      </c>
      <c r="K6" s="4">
        <v>10</v>
      </c>
      <c r="L6" s="4">
        <v>12</v>
      </c>
      <c r="M6" s="4">
        <v>11</v>
      </c>
      <c r="N6" s="4">
        <v>6</v>
      </c>
      <c r="O6" s="4">
        <v>19</v>
      </c>
      <c r="P6" s="4">
        <v>12</v>
      </c>
      <c r="Q6" s="4">
        <v>14</v>
      </c>
      <c r="R6" s="4">
        <v>12</v>
      </c>
      <c r="S6" s="4">
        <v>16</v>
      </c>
      <c r="T6" s="4">
        <v>23</v>
      </c>
      <c r="U6" s="4"/>
      <c r="V6" s="4">
        <v>24</v>
      </c>
      <c r="W6" s="4">
        <v>32</v>
      </c>
      <c r="X6" s="4">
        <v>16</v>
      </c>
      <c r="Y6" s="4">
        <v>16</v>
      </c>
      <c r="Z6" s="4">
        <v>17</v>
      </c>
      <c r="AA6" s="4">
        <v>9</v>
      </c>
      <c r="AB6" s="4">
        <v>6</v>
      </c>
      <c r="AC6" s="25"/>
      <c r="AD6" s="4">
        <v>12</v>
      </c>
      <c r="AE6" s="24">
        <v>17</v>
      </c>
      <c r="AF6" s="4">
        <v>41</v>
      </c>
      <c r="AG6" s="24">
        <v>15</v>
      </c>
      <c r="AH6" s="4">
        <v>26</v>
      </c>
      <c r="AI6" s="44">
        <f t="shared" si="0"/>
        <v>13.96774193548387</v>
      </c>
      <c r="AJ6" s="33">
        <f>SUM(D6,E6,F6,G6,H6,I6,J6,K6,L6,M6,N6,O6,P6,Q6,R6,S6,T6,U6,V6,W6,X6,Y6,Z6,AA6,AB6,AC6,AD6,AE6,AF6,AG6,AH6)</f>
        <v>433</v>
      </c>
      <c r="AK6" s="5">
        <f>(AJ6/(AJ3+AJ4))*100</f>
        <v>8.372003093580819</v>
      </c>
    </row>
    <row r="7" spans="1:37" ht="18.95" customHeight="1" x14ac:dyDescent="0.3">
      <c r="A7" s="89"/>
      <c r="B7" s="91"/>
      <c r="C7" s="61" t="s">
        <v>18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>
        <v>200</v>
      </c>
      <c r="R7" s="4"/>
      <c r="S7" s="4"/>
      <c r="T7" s="4">
        <v>652</v>
      </c>
      <c r="U7" s="4"/>
      <c r="V7" s="4"/>
      <c r="W7" s="4"/>
      <c r="X7" s="4"/>
      <c r="Y7" s="4"/>
      <c r="Z7" s="4"/>
      <c r="AA7" s="4"/>
      <c r="AB7" s="4">
        <v>272</v>
      </c>
      <c r="AC7" s="25"/>
      <c r="AD7" s="4"/>
      <c r="AE7" s="24"/>
      <c r="AF7" s="4"/>
      <c r="AG7" s="24"/>
      <c r="AH7" s="4"/>
      <c r="AI7" s="44">
        <f t="shared" si="0"/>
        <v>36.258064516129032</v>
      </c>
      <c r="AJ7" s="33">
        <f>SUM(D7,E7,F7,G7,H7,I7,J7,K7,L7,M7,N7,O7,P7,Q7,R7,S7,T7,U7,V7,W7,X7,Y7,Z7,AA7,AB7,AC7,AD7,AE7,AF7,AG7,AH7)</f>
        <v>1124</v>
      </c>
      <c r="AK7" s="5">
        <f>(AJ7/(AJ3+AJ4))*100</f>
        <v>21.732405259087393</v>
      </c>
    </row>
    <row r="8" spans="1:37" ht="18.95" customHeight="1" x14ac:dyDescent="0.3">
      <c r="A8" s="89"/>
      <c r="B8" s="91"/>
      <c r="C8" s="62" t="s">
        <v>19</v>
      </c>
      <c r="D8" s="38"/>
      <c r="E8" s="39"/>
      <c r="F8" s="39"/>
      <c r="G8" s="39"/>
      <c r="H8" s="39"/>
      <c r="I8" s="39"/>
      <c r="J8" s="40">
        <v>61</v>
      </c>
      <c r="K8" s="39">
        <v>45</v>
      </c>
      <c r="L8" s="39"/>
      <c r="M8" s="39"/>
      <c r="N8" s="39"/>
      <c r="O8" s="39">
        <v>140</v>
      </c>
      <c r="P8" s="39">
        <v>69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>
        <v>8</v>
      </c>
      <c r="AC8" s="38"/>
      <c r="AD8" s="39"/>
      <c r="AE8" s="40"/>
      <c r="AF8" s="39"/>
      <c r="AG8" s="40"/>
      <c r="AH8" s="39"/>
      <c r="AI8" s="47">
        <f t="shared" si="0"/>
        <v>10.419354838709678</v>
      </c>
      <c r="AJ8" s="41">
        <f>SUM(D8,E8,F8,G8,H8,I8,J8,K8,L8,M8,N8,O8,P8,Q8,R8,S8,T8,U8,V8,W8,X8,Y8,Z8,AA8,AB8,AC8,AD8,AE8,AF8,AG8,AH8)</f>
        <v>323</v>
      </c>
      <c r="AK8" s="42">
        <f>(AJ8/(AJ3+AJ4))*100</f>
        <v>6.2451662799690641</v>
      </c>
    </row>
    <row r="9" spans="1:37" ht="18.95" customHeight="1" x14ac:dyDescent="0.3">
      <c r="A9" s="89"/>
      <c r="B9" s="91"/>
      <c r="C9" s="60" t="s">
        <v>1</v>
      </c>
      <c r="D9" s="21"/>
      <c r="E9" s="2"/>
      <c r="F9" s="2"/>
      <c r="G9" s="2"/>
      <c r="H9" s="2"/>
      <c r="I9" s="2"/>
      <c r="J9" s="22">
        <v>205</v>
      </c>
      <c r="K9" s="2">
        <v>40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>
        <v>644</v>
      </c>
      <c r="Y9" s="2"/>
      <c r="Z9" s="2"/>
      <c r="AA9" s="2"/>
      <c r="AB9" s="2"/>
      <c r="AC9" s="21"/>
      <c r="AD9" s="2"/>
      <c r="AE9" s="23"/>
      <c r="AF9" s="2"/>
      <c r="AG9" s="23"/>
      <c r="AH9" s="2"/>
      <c r="AI9" s="43">
        <f t="shared" si="0"/>
        <v>28.677419354838708</v>
      </c>
      <c r="AJ9" s="32">
        <f>SUM(D9,E9,F9,G9,H9,I9,J9,K9,L9,M9,N9,O9,P9,Q9,R9,S9,T9,U9,V9,W9,X9,Y9,Z9,AA9,AB9,AC9,AD9,AE9,AF9,AG9,AH9)</f>
        <v>889</v>
      </c>
      <c r="AK9" s="3">
        <f>(AJ9/(AJ3+AJ4))*100</f>
        <v>17.188708430007736</v>
      </c>
    </row>
    <row r="10" spans="1:37" ht="18.95" customHeight="1" x14ac:dyDescent="0.3">
      <c r="A10" s="89"/>
      <c r="B10" s="91"/>
      <c r="C10" s="61" t="s">
        <v>20</v>
      </c>
      <c r="D10" s="4"/>
      <c r="E10" s="4"/>
      <c r="F10" s="4"/>
      <c r="G10" s="4"/>
      <c r="H10" s="4">
        <v>100</v>
      </c>
      <c r="I10" s="4"/>
      <c r="J10" s="24"/>
      <c r="K10" s="4">
        <v>52</v>
      </c>
      <c r="L10" s="4"/>
      <c r="M10" s="4"/>
      <c r="N10" s="4">
        <v>15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5.387096774193548</v>
      </c>
      <c r="AJ10" s="33">
        <f t="shared" ref="AJ10:AJ14" si="1">SUM(D10,E10,F10,G10,H10,I10,J10,K10,L10,M10,N10,O10,P10,Q10,R10,S10,T10,U10,V10,W10,X10,Y10,Z10,AA10,AB10,AC10,AD10,AE10,AF10,AG10,AH10)</f>
        <v>167</v>
      </c>
      <c r="AK10" s="5">
        <f>(AJ10/(AJ3+AJ4))*100</f>
        <v>3.2289249806651195</v>
      </c>
    </row>
    <row r="11" spans="1:37" ht="18.95" customHeight="1" x14ac:dyDescent="0.3">
      <c r="A11" s="89"/>
      <c r="B11" s="91"/>
      <c r="C11" s="61" t="s">
        <v>21</v>
      </c>
      <c r="D11" s="21"/>
      <c r="E11" s="2"/>
      <c r="F11" s="2"/>
      <c r="G11" s="2"/>
      <c r="H11" s="2"/>
      <c r="I11" s="2"/>
      <c r="J11" s="22"/>
      <c r="K11" s="2">
        <v>88</v>
      </c>
      <c r="L11" s="2">
        <v>65</v>
      </c>
      <c r="M11" s="2"/>
      <c r="N11" s="2"/>
      <c r="O11" s="2"/>
      <c r="P11" s="2"/>
      <c r="Q11" s="2"/>
      <c r="R11" s="2"/>
      <c r="S11" s="2"/>
      <c r="T11" s="2">
        <v>20</v>
      </c>
      <c r="U11" s="2"/>
      <c r="V11" s="2"/>
      <c r="W11" s="2"/>
      <c r="X11" s="2"/>
      <c r="Y11" s="2">
        <v>5</v>
      </c>
      <c r="Z11" s="2"/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5.741935483870968</v>
      </c>
      <c r="AJ11" s="32">
        <f>SUM(D11,E11,F11,G11,H11,I11,J11,K11,L11,M11,N11,O11,P11,Q11,R11,S11,T11,U11,V11,W11,X11,Y11,Z11,AA11,AB11,AC11,AD11,AE11,AF11,AG11,AH11)</f>
        <v>178</v>
      </c>
      <c r="AK11" s="3">
        <f>(AJ11/(AJ3+AJ4))*100</f>
        <v>3.4416086620262956</v>
      </c>
    </row>
    <row r="12" spans="1:37" ht="18.95" customHeight="1" x14ac:dyDescent="0.3">
      <c r="A12" s="89"/>
      <c r="B12" s="92" t="s">
        <v>22</v>
      </c>
      <c r="C12" s="63" t="s">
        <v>2</v>
      </c>
      <c r="D12" s="6">
        <v>19</v>
      </c>
      <c r="E12" s="6"/>
      <c r="F12" s="6"/>
      <c r="G12" s="6">
        <v>13</v>
      </c>
      <c r="H12" s="6"/>
      <c r="I12" s="6">
        <v>31</v>
      </c>
      <c r="J12" s="26"/>
      <c r="K12" s="6"/>
      <c r="L12" s="6"/>
      <c r="M12" s="6"/>
      <c r="N12" s="6">
        <v>30</v>
      </c>
      <c r="O12" s="6"/>
      <c r="P12" s="6"/>
      <c r="Q12" s="6"/>
      <c r="R12" s="6"/>
      <c r="S12" s="6"/>
      <c r="T12" s="6"/>
      <c r="U12" s="6">
        <v>20</v>
      </c>
      <c r="V12" s="6"/>
      <c r="W12" s="6"/>
      <c r="X12" s="6"/>
      <c r="Y12" s="6"/>
      <c r="Z12" s="6">
        <v>30</v>
      </c>
      <c r="AA12" s="6"/>
      <c r="AB12" s="6">
        <v>8</v>
      </c>
      <c r="AC12" s="27"/>
      <c r="AD12" s="6"/>
      <c r="AE12" s="26"/>
      <c r="AF12" s="6"/>
      <c r="AG12" s="26"/>
      <c r="AH12" s="6"/>
      <c r="AI12" s="45">
        <f t="shared" si="0"/>
        <v>4.870967741935484</v>
      </c>
      <c r="AJ12" s="34">
        <f>SUM(D12,E12,F12,G12,H12,I12,J12,K12,L12,M12,N12,O12,P12,Q12,R12,S12,T12,U12,V12,W12,X12,Y12,Z12,AA12,AB12,AC12,AD12,AE12,AF12,AG12,AH12)</f>
        <v>151</v>
      </c>
      <c r="AK12" s="7">
        <f>(AJ12/(AJ3+AJ4))*100</f>
        <v>2.9195668986852281</v>
      </c>
    </row>
    <row r="13" spans="1:37" ht="18.95" customHeight="1" x14ac:dyDescent="0.3">
      <c r="A13" s="89"/>
      <c r="B13" s="93"/>
      <c r="C13" s="63" t="s">
        <v>32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>
        <v>20</v>
      </c>
      <c r="U13" s="8">
        <v>10</v>
      </c>
      <c r="V13" s="8"/>
      <c r="W13" s="8"/>
      <c r="X13" s="8"/>
      <c r="Y13" s="8"/>
      <c r="Z13" s="8">
        <v>20</v>
      </c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1.6129032258064515</v>
      </c>
      <c r="AJ13" s="35">
        <f t="shared" si="1"/>
        <v>50</v>
      </c>
      <c r="AK13" s="9">
        <f>(AJ13/(AJ3+AJ4))*100</f>
        <v>0.96674400618716161</v>
      </c>
    </row>
    <row r="14" spans="1:37" ht="18.95" customHeight="1" x14ac:dyDescent="0.3">
      <c r="A14" s="89"/>
      <c r="B14" s="93"/>
      <c r="C14" s="57" t="s">
        <v>23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>
        <v>24</v>
      </c>
      <c r="AG14" s="26"/>
      <c r="AH14" s="6"/>
      <c r="AI14" s="45">
        <f t="shared" si="0"/>
        <v>0.77419354838709675</v>
      </c>
      <c r="AJ14" s="34">
        <f t="shared" si="1"/>
        <v>24</v>
      </c>
      <c r="AK14" s="7">
        <f>(AJ14/(AJ3+AJ4))*100</f>
        <v>0.46403712296983757</v>
      </c>
    </row>
    <row r="15" spans="1:37" ht="18.95" customHeight="1" x14ac:dyDescent="0.3">
      <c r="A15" s="89"/>
      <c r="B15" s="94"/>
      <c r="C15" s="63" t="s">
        <v>24</v>
      </c>
      <c r="D15" s="51"/>
      <c r="E15" s="51">
        <v>21</v>
      </c>
      <c r="F15" s="51">
        <v>30</v>
      </c>
      <c r="G15" s="51">
        <v>70</v>
      </c>
      <c r="H15" s="51"/>
      <c r="I15" s="51">
        <v>20</v>
      </c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>
        <v>50</v>
      </c>
      <c r="U15" s="51">
        <v>30</v>
      </c>
      <c r="V15" s="51"/>
      <c r="W15" s="51"/>
      <c r="X15" s="51"/>
      <c r="Y15" s="51"/>
      <c r="Z15" s="51"/>
      <c r="AA15" s="51"/>
      <c r="AB15" s="51"/>
      <c r="AC15" s="52"/>
      <c r="AD15" s="51"/>
      <c r="AE15" s="50"/>
      <c r="AF15" s="51">
        <v>30</v>
      </c>
      <c r="AG15" s="50"/>
      <c r="AH15" s="51"/>
      <c r="AI15" s="45">
        <f t="shared" si="0"/>
        <v>8.0967741935483879</v>
      </c>
      <c r="AJ15" s="34">
        <f>SUM(D15,E15,F15,G15,H15,I15,J15,K15,L15,M15,N15,O15,P15,Q15,R15,S15,T15,U15,V15,W15,X15,Y15,Z15,AA15,AB15,AC15,AD15,AE15,AF15,AG15,AH15)</f>
        <v>251</v>
      </c>
      <c r="AK15" s="7">
        <f>(AJ15/(AJ3+AJ4))*100</f>
        <v>4.8530549110595516</v>
      </c>
    </row>
    <row r="16" spans="1:37" ht="18.399999999999999" customHeight="1" x14ac:dyDescent="0.3">
      <c r="A16" s="90"/>
      <c r="B16" s="79" t="s">
        <v>25</v>
      </c>
      <c r="C16" s="80"/>
      <c r="D16" s="79">
        <f>SUM(D5:H15)</f>
        <v>336</v>
      </c>
      <c r="E16" s="80"/>
      <c r="F16" s="80"/>
      <c r="G16" s="80"/>
      <c r="H16" s="81"/>
      <c r="I16" s="79">
        <f>SUM(I5:O15)</f>
        <v>1023</v>
      </c>
      <c r="J16" s="80"/>
      <c r="K16" s="80"/>
      <c r="L16" s="80"/>
      <c r="M16" s="80"/>
      <c r="N16" s="80"/>
      <c r="O16" s="81"/>
      <c r="P16" s="79">
        <f>SUM(P5:V15)</f>
        <v>1246</v>
      </c>
      <c r="Q16" s="80"/>
      <c r="R16" s="80"/>
      <c r="S16" s="80"/>
      <c r="T16" s="80"/>
      <c r="U16" s="80"/>
      <c r="V16" s="81"/>
      <c r="W16" s="79">
        <f>SUM(W5:AC15)</f>
        <v>1273</v>
      </c>
      <c r="X16" s="80"/>
      <c r="Y16" s="80"/>
      <c r="Z16" s="80"/>
      <c r="AA16" s="80"/>
      <c r="AB16" s="80"/>
      <c r="AC16" s="81"/>
      <c r="AD16" s="79">
        <f>SUM(AD5:AH15)</f>
        <v>187</v>
      </c>
      <c r="AE16" s="80"/>
      <c r="AF16" s="80"/>
      <c r="AG16" s="80"/>
      <c r="AH16" s="81"/>
      <c r="AI16" s="53">
        <f t="shared" si="0"/>
        <v>131.12903225806451</v>
      </c>
      <c r="AJ16" s="49">
        <f>SUM(AJ5,AJ6,AJ7,AJ8,AJ9,AJ10,AJ11,AJ12,AJ13,AJ14,AJ15)</f>
        <v>4065</v>
      </c>
      <c r="AK16" s="10">
        <f>SUM(AK5,AK6,AK7,AK8,AK9,AK10,AK11,AK12,AK13,AK14,AK15)</f>
        <v>78.59628770301623</v>
      </c>
    </row>
    <row r="17" spans="1:37" ht="18" customHeight="1" x14ac:dyDescent="0.3">
      <c r="A17" s="113" t="s">
        <v>26</v>
      </c>
      <c r="B17" s="113"/>
      <c r="C17" s="114"/>
      <c r="D17" s="115">
        <v>89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7"/>
      <c r="AJ17" s="118"/>
      <c r="AK17" s="55"/>
    </row>
    <row r="18" spans="1:37" ht="18" customHeight="1" x14ac:dyDescent="0.3">
      <c r="A18" s="108" t="s">
        <v>27</v>
      </c>
      <c r="B18" s="108"/>
      <c r="C18" s="109"/>
      <c r="D18" s="119">
        <f>((AJ3+AJ4+D17)-AJ16)-D17</f>
        <v>1107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8"/>
      <c r="AK18" s="31">
        <f>((AJ3+AJ4-AJ16)/(AJ3+AJ4))*100</f>
        <v>21.403712296983759</v>
      </c>
    </row>
    <row r="19" spans="1:37" ht="18" customHeight="1" x14ac:dyDescent="0.3">
      <c r="A19" s="107" t="s">
        <v>28</v>
      </c>
      <c r="B19" s="108"/>
      <c r="C19" s="109"/>
      <c r="D19" s="110">
        <f>(AJ3+AJ4+D17)-AJ16</f>
        <v>1196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  <c r="AK19" s="54"/>
    </row>
  </sheetData>
  <mergeCells count="22">
    <mergeCell ref="A19:C19"/>
    <mergeCell ref="D19:AJ19"/>
    <mergeCell ref="A17:C17"/>
    <mergeCell ref="D17:AJ17"/>
    <mergeCell ref="A18:C18"/>
    <mergeCell ref="D18:AJ18"/>
    <mergeCell ref="AJ1:AJ2"/>
    <mergeCell ref="AK1:AK2"/>
    <mergeCell ref="A3:B4"/>
    <mergeCell ref="AI3:AI4"/>
    <mergeCell ref="AK3:AK4"/>
    <mergeCell ref="P16:V16"/>
    <mergeCell ref="W16:AC16"/>
    <mergeCell ref="AD16:AH16"/>
    <mergeCell ref="A1:C2"/>
    <mergeCell ref="AI1:AI2"/>
    <mergeCell ref="A5:A16"/>
    <mergeCell ref="B5:B11"/>
    <mergeCell ref="B12:B15"/>
    <mergeCell ref="B16:C16"/>
    <mergeCell ref="D16:H16"/>
    <mergeCell ref="I16:O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9"/>
  <sheetViews>
    <sheetView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425781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2"/>
      <c r="B1" s="82"/>
      <c r="C1" s="83"/>
      <c r="D1" s="36" t="s">
        <v>4</v>
      </c>
      <c r="E1" s="37" t="s">
        <v>29</v>
      </c>
      <c r="F1" s="56" t="s">
        <v>9</v>
      </c>
      <c r="G1" s="36" t="s">
        <v>8</v>
      </c>
      <c r="H1" s="37" t="s">
        <v>7</v>
      </c>
      <c r="I1" s="36" t="s">
        <v>6</v>
      </c>
      <c r="J1" s="36" t="s">
        <v>5</v>
      </c>
      <c r="K1" s="36" t="s">
        <v>4</v>
      </c>
      <c r="L1" s="37" t="s">
        <v>29</v>
      </c>
      <c r="M1" s="56" t="s">
        <v>9</v>
      </c>
      <c r="N1" s="36" t="s">
        <v>8</v>
      </c>
      <c r="O1" s="37" t="s">
        <v>7</v>
      </c>
      <c r="P1" s="36" t="s">
        <v>6</v>
      </c>
      <c r="Q1" s="36" t="s">
        <v>5</v>
      </c>
      <c r="R1" s="36" t="s">
        <v>4</v>
      </c>
      <c r="S1" s="37" t="s">
        <v>29</v>
      </c>
      <c r="T1" s="56" t="s">
        <v>9</v>
      </c>
      <c r="U1" s="36" t="s">
        <v>8</v>
      </c>
      <c r="V1" s="37" t="s">
        <v>7</v>
      </c>
      <c r="W1" s="36" t="s">
        <v>6</v>
      </c>
      <c r="X1" s="36" t="s">
        <v>5</v>
      </c>
      <c r="Y1" s="36" t="s">
        <v>4</v>
      </c>
      <c r="Z1" s="37" t="s">
        <v>29</v>
      </c>
      <c r="AA1" s="56" t="s">
        <v>9</v>
      </c>
      <c r="AB1" s="36" t="s">
        <v>8</v>
      </c>
      <c r="AC1" s="37" t="s">
        <v>7</v>
      </c>
      <c r="AD1" s="36" t="s">
        <v>6</v>
      </c>
      <c r="AE1" s="36" t="s">
        <v>5</v>
      </c>
      <c r="AF1" s="36" t="s">
        <v>4</v>
      </c>
      <c r="AG1" s="37" t="s">
        <v>29</v>
      </c>
      <c r="AH1" s="36" t="s">
        <v>9</v>
      </c>
      <c r="AI1" s="86" t="s">
        <v>30</v>
      </c>
      <c r="AJ1" s="95" t="s">
        <v>31</v>
      </c>
      <c r="AK1" s="97" t="s">
        <v>10</v>
      </c>
    </row>
    <row r="2" spans="1:37" ht="18.95" customHeight="1" x14ac:dyDescent="0.3">
      <c r="A2" s="84"/>
      <c r="B2" s="84"/>
      <c r="C2" s="85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87"/>
      <c r="AJ2" s="96"/>
      <c r="AK2" s="98"/>
    </row>
    <row r="3" spans="1:37" ht="18.95" customHeight="1" x14ac:dyDescent="0.3">
      <c r="A3" s="99" t="s">
        <v>12</v>
      </c>
      <c r="B3" s="100"/>
      <c r="C3" s="58" t="s">
        <v>0</v>
      </c>
      <c r="D3" s="14"/>
      <c r="E3" s="15"/>
      <c r="F3" s="15"/>
      <c r="G3" s="15"/>
      <c r="H3" s="15"/>
      <c r="I3" s="18">
        <v>1599</v>
      </c>
      <c r="J3" s="16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>
        <v>970</v>
      </c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3">
        <f>AJ3/28</f>
        <v>91.75</v>
      </c>
      <c r="AJ3" s="48">
        <f>SUM(D3:AH3)</f>
        <v>2569</v>
      </c>
      <c r="AK3" s="105">
        <v>100</v>
      </c>
    </row>
    <row r="4" spans="1:37" ht="18.95" customHeight="1" x14ac:dyDescent="0.3">
      <c r="A4" s="101"/>
      <c r="B4" s="102"/>
      <c r="C4" s="59" t="s">
        <v>13</v>
      </c>
      <c r="D4" s="18">
        <v>20</v>
      </c>
      <c r="E4" s="18">
        <v>25</v>
      </c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>
        <v>50</v>
      </c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104"/>
      <c r="AJ4" s="48">
        <f>SUM(D4:AH4)</f>
        <v>95</v>
      </c>
      <c r="AK4" s="106"/>
    </row>
    <row r="5" spans="1:37" ht="18.95" customHeight="1" x14ac:dyDescent="0.3">
      <c r="A5" s="88" t="s">
        <v>14</v>
      </c>
      <c r="B5" s="91" t="s">
        <v>15</v>
      </c>
      <c r="C5" s="60" t="s">
        <v>16</v>
      </c>
      <c r="D5" s="21"/>
      <c r="E5" s="2">
        <v>5</v>
      </c>
      <c r="F5" s="2">
        <v>12</v>
      </c>
      <c r="G5" s="2">
        <v>33</v>
      </c>
      <c r="H5" s="2">
        <v>7</v>
      </c>
      <c r="I5" s="2"/>
      <c r="J5" s="22"/>
      <c r="K5" s="2">
        <v>66</v>
      </c>
      <c r="L5" s="2">
        <v>45</v>
      </c>
      <c r="M5" s="2">
        <v>22</v>
      </c>
      <c r="N5" s="2"/>
      <c r="O5" s="2"/>
      <c r="P5" s="2">
        <v>2</v>
      </c>
      <c r="Q5" s="2"/>
      <c r="R5" s="2"/>
      <c r="S5" s="2"/>
      <c r="T5" s="2">
        <v>17</v>
      </c>
      <c r="U5" s="2"/>
      <c r="V5" s="2">
        <v>8</v>
      </c>
      <c r="W5" s="2">
        <v>132</v>
      </c>
      <c r="X5" s="2">
        <v>15</v>
      </c>
      <c r="Y5" s="2"/>
      <c r="Z5" s="2"/>
      <c r="AA5" s="2">
        <v>18</v>
      </c>
      <c r="AB5" s="2"/>
      <c r="AC5" s="21">
        <v>15</v>
      </c>
      <c r="AD5" s="2">
        <v>8</v>
      </c>
      <c r="AE5" s="23"/>
      <c r="AF5" s="2"/>
      <c r="AG5" s="23"/>
      <c r="AH5" s="2"/>
      <c r="AI5" s="43">
        <f t="shared" ref="AI5:AI16" si="0">AJ5/28</f>
        <v>14.464285714285714</v>
      </c>
      <c r="AJ5" s="32">
        <f>SUM(D5,E5,F5,G5,H5,I5,J5,K5,L5,M5,N5,O5,P5,Q5,R5,S5,T5,U5,V5,W5,X5,Y5,Z5,AA5,AB5,AC5,AD5,AE5,AF5,AG5,AH5)</f>
        <v>405</v>
      </c>
      <c r="AK5" s="3">
        <f>(AJ5/(AJ3+AJ4))*100</f>
        <v>15.202702702702704</v>
      </c>
    </row>
    <row r="6" spans="1:37" ht="18.95" customHeight="1" x14ac:dyDescent="0.3">
      <c r="A6" s="89"/>
      <c r="B6" s="91"/>
      <c r="C6" s="61" t="s">
        <v>17</v>
      </c>
      <c r="D6" s="4"/>
      <c r="E6" s="4">
        <v>25</v>
      </c>
      <c r="F6" s="4">
        <v>6</v>
      </c>
      <c r="G6" s="4">
        <v>9</v>
      </c>
      <c r="H6" s="4">
        <v>6</v>
      </c>
      <c r="I6" s="4">
        <v>6</v>
      </c>
      <c r="J6" s="24">
        <v>32</v>
      </c>
      <c r="K6" s="4">
        <v>20</v>
      </c>
      <c r="L6" s="4">
        <v>8</v>
      </c>
      <c r="M6" s="4">
        <v>14</v>
      </c>
      <c r="N6" s="4">
        <v>11</v>
      </c>
      <c r="O6" s="4">
        <v>9</v>
      </c>
      <c r="P6" s="4">
        <v>5</v>
      </c>
      <c r="Q6" s="4">
        <v>3</v>
      </c>
      <c r="R6" s="4"/>
      <c r="S6" s="4">
        <v>26</v>
      </c>
      <c r="T6" s="4">
        <v>10</v>
      </c>
      <c r="U6" s="4">
        <v>5</v>
      </c>
      <c r="V6" s="4">
        <v>6</v>
      </c>
      <c r="W6" s="4">
        <v>6</v>
      </c>
      <c r="X6" s="4"/>
      <c r="Y6" s="4"/>
      <c r="Z6" s="4"/>
      <c r="AA6" s="4">
        <v>5</v>
      </c>
      <c r="AB6" s="4">
        <v>5</v>
      </c>
      <c r="AC6" s="25">
        <v>6</v>
      </c>
      <c r="AD6" s="4">
        <v>6</v>
      </c>
      <c r="AE6" s="24">
        <v>26</v>
      </c>
      <c r="AF6" s="4"/>
      <c r="AG6" s="24"/>
      <c r="AH6" s="4"/>
      <c r="AI6" s="44">
        <f t="shared" si="0"/>
        <v>9.1071428571428577</v>
      </c>
      <c r="AJ6" s="33">
        <f>SUM(D6,E6,F6,G6,H6,I6,J6,K6,L6,M6,N6,O6,P6,Q6,R6,S6,T6,U6,V6,W6,X6,Y6,Z6,AA6,AB6,AC6,AD6,AE6,AF6,AG6,AH6)</f>
        <v>255</v>
      </c>
      <c r="AK6" s="5">
        <f>(AJ6/(AJ3+AJ4))*100</f>
        <v>9.5720720720720713</v>
      </c>
    </row>
    <row r="7" spans="1:37" ht="18.95" customHeight="1" x14ac:dyDescent="0.3">
      <c r="A7" s="89"/>
      <c r="B7" s="91"/>
      <c r="C7" s="61" t="s">
        <v>18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>
        <v>115</v>
      </c>
      <c r="W7" s="4"/>
      <c r="X7" s="4"/>
      <c r="Y7" s="4"/>
      <c r="Z7" s="4"/>
      <c r="AA7" s="4"/>
      <c r="AB7" s="4"/>
      <c r="AC7" s="25">
        <v>21</v>
      </c>
      <c r="AD7" s="4"/>
      <c r="AE7" s="24"/>
      <c r="AF7" s="4"/>
      <c r="AG7" s="24"/>
      <c r="AH7" s="4"/>
      <c r="AI7" s="44">
        <f t="shared" si="0"/>
        <v>4.8571428571428568</v>
      </c>
      <c r="AJ7" s="33">
        <f>SUM(D7,E7,F7,G7,H7,I7,J7,K7,L7,M7,N7,O7,P7,Q7,R7,S7,T7,U7,V7,W7,X7,Y7,Z7,AA7,AB7,AC7,AD7,AE7,AF7,AG7,AH7)</f>
        <v>136</v>
      </c>
      <c r="AK7" s="5">
        <f>(AJ7/(AJ3+AJ4))*100</f>
        <v>5.1051051051051051</v>
      </c>
    </row>
    <row r="8" spans="1:37" ht="18.95" customHeight="1" x14ac:dyDescent="0.3">
      <c r="A8" s="89"/>
      <c r="B8" s="91"/>
      <c r="C8" s="62" t="s">
        <v>19</v>
      </c>
      <c r="D8" s="38"/>
      <c r="E8" s="39"/>
      <c r="F8" s="39"/>
      <c r="G8" s="39"/>
      <c r="H8" s="39"/>
      <c r="I8" s="39"/>
      <c r="J8" s="40"/>
      <c r="K8" s="39"/>
      <c r="L8" s="39"/>
      <c r="M8" s="39"/>
      <c r="N8" s="39"/>
      <c r="O8" s="39"/>
      <c r="P8" s="39"/>
      <c r="Q8" s="39"/>
      <c r="R8" s="39"/>
      <c r="S8" s="39"/>
      <c r="T8" s="39">
        <v>112</v>
      </c>
      <c r="U8" s="39">
        <v>8</v>
      </c>
      <c r="V8" s="39"/>
      <c r="W8" s="39">
        <v>20</v>
      </c>
      <c r="X8" s="39"/>
      <c r="Y8" s="39"/>
      <c r="Z8" s="39"/>
      <c r="AA8" s="39"/>
      <c r="AB8" s="39"/>
      <c r="AC8" s="38">
        <v>6</v>
      </c>
      <c r="AD8" s="39"/>
      <c r="AE8" s="40"/>
      <c r="AF8" s="39"/>
      <c r="AG8" s="40"/>
      <c r="AH8" s="39"/>
      <c r="AI8" s="47">
        <f t="shared" si="0"/>
        <v>5.2142857142857144</v>
      </c>
      <c r="AJ8" s="41">
        <f>SUM(D8,E8,F8,G8,H8,I8,J8,K8,L8,M8,N8,O8,P8,Q8,R8,S8,T8,U8,V8,W8,X8,Y8,Z8,AA8,AB8,AC8,AD8,AE8,AF8,AG8,AH8)</f>
        <v>146</v>
      </c>
      <c r="AK8" s="42">
        <f>(AJ8/(AJ3+AJ4))*100</f>
        <v>5.4804804804804803</v>
      </c>
    </row>
    <row r="9" spans="1:37" ht="18.95" customHeight="1" x14ac:dyDescent="0.3">
      <c r="A9" s="89"/>
      <c r="B9" s="91"/>
      <c r="C9" s="60" t="s">
        <v>1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>
        <v>100</v>
      </c>
      <c r="X9" s="2"/>
      <c r="Y9" s="2"/>
      <c r="Z9" s="2"/>
      <c r="AA9" s="2">
        <v>316</v>
      </c>
      <c r="AB9" s="2"/>
      <c r="AC9" s="21"/>
      <c r="AD9" s="2"/>
      <c r="AE9" s="23"/>
      <c r="AF9" s="2"/>
      <c r="AG9" s="23"/>
      <c r="AH9" s="2"/>
      <c r="AI9" s="43">
        <f t="shared" si="0"/>
        <v>14.857142857142858</v>
      </c>
      <c r="AJ9" s="32">
        <f>SUM(D9,E9,F9,G9,H9,I9,J9,K9,L9,M9,N9,O9,P9,Q9,R9,S9,T9,U9,V9,W9,X9,Y9,Z9,AA9,AB9,AC9,AD9,AE9,AF9,AG9,AH9)</f>
        <v>416</v>
      </c>
      <c r="AK9" s="3">
        <f>(AJ9/(AJ3+AJ4))*100</f>
        <v>15.615615615615615</v>
      </c>
    </row>
    <row r="10" spans="1:37" ht="18.95" customHeight="1" x14ac:dyDescent="0.3">
      <c r="A10" s="89"/>
      <c r="B10" s="91"/>
      <c r="C10" s="61" t="s">
        <v>20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>
        <v>5</v>
      </c>
      <c r="AE10" s="24"/>
      <c r="AF10" s="4"/>
      <c r="AG10" s="24"/>
      <c r="AH10" s="4"/>
      <c r="AI10" s="44">
        <f t="shared" si="0"/>
        <v>0.17857142857142858</v>
      </c>
      <c r="AJ10" s="33">
        <f t="shared" ref="AJ10:AJ14" si="1">SUM(D10,E10,F10,G10,H10,I10,J10,K10,L10,M10,N10,O10,P10,Q10,R10,S10,T10,U10,V10,W10,X10,Y10,Z10,AA10,AB10,AC10,AD10,AE10,AF10,AG10,AH10)</f>
        <v>5</v>
      </c>
      <c r="AK10" s="5">
        <f>(AJ10/(AJ3+AJ4))*100</f>
        <v>0.18768768768768768</v>
      </c>
    </row>
    <row r="11" spans="1:37" ht="18.95" customHeight="1" x14ac:dyDescent="0.3">
      <c r="A11" s="89"/>
      <c r="B11" s="91"/>
      <c r="C11" s="61" t="s">
        <v>21</v>
      </c>
      <c r="D11" s="21">
        <v>27</v>
      </c>
      <c r="E11" s="2"/>
      <c r="F11" s="2"/>
      <c r="G11" s="2"/>
      <c r="H11" s="2"/>
      <c r="I11" s="2"/>
      <c r="J11" s="22">
        <v>40</v>
      </c>
      <c r="K11" s="2"/>
      <c r="L11" s="2"/>
      <c r="M11" s="2"/>
      <c r="N11" s="2"/>
      <c r="O11" s="2">
        <v>164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8.25</v>
      </c>
      <c r="AJ11" s="32">
        <f>SUM(D11,E11,F11,G11,H11,I11,J11,K11,L11,M11,N11,O11,P11,Q11,R11,S11,T11,U11,V11,W11,X11,Y11,Z11,AA11,AB11,AC11,AD11,AE11,AF11,AG11,AH11)</f>
        <v>231</v>
      </c>
      <c r="AK11" s="3">
        <f>(AJ11/(AJ3+AJ4))*100</f>
        <v>8.6711711711711708</v>
      </c>
    </row>
    <row r="12" spans="1:37" ht="18.95" customHeight="1" x14ac:dyDescent="0.3">
      <c r="A12" s="89"/>
      <c r="B12" s="92" t="s">
        <v>22</v>
      </c>
      <c r="C12" s="63" t="s">
        <v>2</v>
      </c>
      <c r="D12" s="6"/>
      <c r="E12" s="6"/>
      <c r="F12" s="6"/>
      <c r="G12" s="6"/>
      <c r="H12" s="6"/>
      <c r="I12" s="6"/>
      <c r="J12" s="26">
        <v>50</v>
      </c>
      <c r="K12" s="6">
        <v>20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>
        <v>15</v>
      </c>
      <c r="Y12" s="6"/>
      <c r="Z12" s="6"/>
      <c r="AA12" s="6"/>
      <c r="AB12" s="6"/>
      <c r="AC12" s="27"/>
      <c r="AD12" s="6">
        <v>15</v>
      </c>
      <c r="AE12" s="26">
        <v>38</v>
      </c>
      <c r="AF12" s="6"/>
      <c r="AG12" s="26"/>
      <c r="AH12" s="6"/>
      <c r="AI12" s="45">
        <f t="shared" si="0"/>
        <v>4.9285714285714288</v>
      </c>
      <c r="AJ12" s="34">
        <f>SUM(D12,E12,F12,G12,H12,I12,J12,K12,L12,M12,N12,O12,P12,Q12,R12,S12,T12,U12,V12,W12,X12,Y12,Z12,AA12,AB12,AC12,AD12,AE12,AF12,AG12,AH12)</f>
        <v>138</v>
      </c>
      <c r="AK12" s="7">
        <f>(AJ12/(AJ3+AJ4))*100</f>
        <v>5.1801801801801801</v>
      </c>
    </row>
    <row r="13" spans="1:37" ht="18.95" customHeight="1" x14ac:dyDescent="0.3">
      <c r="A13" s="89"/>
      <c r="B13" s="93"/>
      <c r="C13" s="63" t="s">
        <v>32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>
        <v>25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0.8928571428571429</v>
      </c>
      <c r="AJ13" s="35">
        <f t="shared" si="1"/>
        <v>25</v>
      </c>
      <c r="AK13" s="9">
        <f>(AJ13/(AJ3+AJ4))*100</f>
        <v>0.93843843843843844</v>
      </c>
    </row>
    <row r="14" spans="1:37" ht="18.95" customHeight="1" x14ac:dyDescent="0.3">
      <c r="A14" s="89"/>
      <c r="B14" s="93"/>
      <c r="C14" s="57" t="s">
        <v>23</v>
      </c>
      <c r="D14" s="6"/>
      <c r="E14" s="6"/>
      <c r="F14" s="6"/>
      <c r="G14" s="6"/>
      <c r="H14" s="6"/>
      <c r="I14" s="6"/>
      <c r="J14" s="26">
        <v>62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2.2142857142857144</v>
      </c>
      <c r="AJ14" s="34">
        <f t="shared" si="1"/>
        <v>62</v>
      </c>
      <c r="AK14" s="7">
        <f>(AJ14/(AJ3+AJ4))*100</f>
        <v>2.3273273273273274</v>
      </c>
    </row>
    <row r="15" spans="1:37" ht="18.95" customHeight="1" x14ac:dyDescent="0.3">
      <c r="A15" s="89"/>
      <c r="B15" s="94"/>
      <c r="C15" s="63" t="s">
        <v>24</v>
      </c>
      <c r="D15" s="51">
        <v>50</v>
      </c>
      <c r="E15" s="51"/>
      <c r="F15" s="51"/>
      <c r="G15" s="51"/>
      <c r="H15" s="51"/>
      <c r="I15" s="51"/>
      <c r="J15" s="50"/>
      <c r="K15" s="51"/>
      <c r="L15" s="51">
        <v>50</v>
      </c>
      <c r="M15" s="51"/>
      <c r="N15" s="51"/>
      <c r="O15" s="51"/>
      <c r="P15" s="51"/>
      <c r="Q15" s="51"/>
      <c r="R15" s="51">
        <v>60</v>
      </c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2"/>
      <c r="AD15" s="51"/>
      <c r="AE15" s="50">
        <v>20</v>
      </c>
      <c r="AF15" s="51"/>
      <c r="AG15" s="50"/>
      <c r="AH15" s="51"/>
      <c r="AI15" s="45">
        <f t="shared" si="0"/>
        <v>6.4285714285714288</v>
      </c>
      <c r="AJ15" s="34">
        <f>SUM(D15,E15,F15,G15,H15,I15,J15,K15,L15,M15,N15,O15,P15,Q15,R15,S15,T15,U15,V15,W15,X15,Y15,Z15,AA15,AB15,AC15,AD15,AE15,AF15,AG15,AH15)</f>
        <v>180</v>
      </c>
      <c r="AK15" s="7">
        <f>(AJ15/(AJ3+AJ4))*100</f>
        <v>6.756756756756757</v>
      </c>
    </row>
    <row r="16" spans="1:37" ht="18.399999999999999" customHeight="1" x14ac:dyDescent="0.3">
      <c r="A16" s="90"/>
      <c r="B16" s="79" t="s">
        <v>25</v>
      </c>
      <c r="C16" s="80"/>
      <c r="D16" s="79">
        <f>SUM(D5:E15)+187</f>
        <v>294</v>
      </c>
      <c r="E16" s="81"/>
      <c r="F16" s="79">
        <f>SUM(F5:L15)</f>
        <v>472</v>
      </c>
      <c r="G16" s="80"/>
      <c r="H16" s="80"/>
      <c r="I16" s="80"/>
      <c r="J16" s="80"/>
      <c r="K16" s="80"/>
      <c r="L16" s="81"/>
      <c r="M16" s="79">
        <f>SUM(M5:S15)</f>
        <v>341</v>
      </c>
      <c r="N16" s="80"/>
      <c r="O16" s="80"/>
      <c r="P16" s="80"/>
      <c r="Q16" s="80"/>
      <c r="R16" s="80"/>
      <c r="S16" s="81"/>
      <c r="T16" s="79">
        <f>SUM(T5:Z15)</f>
        <v>569</v>
      </c>
      <c r="U16" s="80"/>
      <c r="V16" s="80"/>
      <c r="W16" s="80"/>
      <c r="X16" s="80"/>
      <c r="Y16" s="80"/>
      <c r="Z16" s="81"/>
      <c r="AA16" s="79">
        <f>SUM(AA5:AG15)</f>
        <v>510</v>
      </c>
      <c r="AB16" s="80"/>
      <c r="AC16" s="80"/>
      <c r="AD16" s="80"/>
      <c r="AE16" s="80"/>
      <c r="AF16" s="80"/>
      <c r="AG16" s="81"/>
      <c r="AH16" s="65"/>
      <c r="AI16" s="53">
        <f t="shared" si="0"/>
        <v>71.392857142857139</v>
      </c>
      <c r="AJ16" s="49">
        <f>SUM(AJ5,AJ6,AJ7,AJ8,AJ9,AJ10,AJ11,AJ12,AJ13,AJ14,AJ15)</f>
        <v>1999</v>
      </c>
      <c r="AK16" s="10">
        <f>SUM(AK5,AK6,AK7,AK8,AK9,AK10,AK11,AK12,AK13,AK14,AK15)</f>
        <v>75.037537537537546</v>
      </c>
    </row>
    <row r="17" spans="1:37" ht="18" customHeight="1" x14ac:dyDescent="0.3">
      <c r="A17" s="113" t="s">
        <v>26</v>
      </c>
      <c r="B17" s="113"/>
      <c r="C17" s="114"/>
      <c r="D17" s="115">
        <v>1196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7"/>
      <c r="AJ17" s="118"/>
      <c r="AK17" s="64"/>
    </row>
    <row r="18" spans="1:37" ht="18" customHeight="1" x14ac:dyDescent="0.3">
      <c r="A18" s="108" t="s">
        <v>27</v>
      </c>
      <c r="B18" s="108"/>
      <c r="C18" s="109"/>
      <c r="D18" s="119">
        <f>((AJ3+AJ4+D17)-AJ16)-D17</f>
        <v>665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8"/>
      <c r="AK18" s="31">
        <f>((AJ3+AJ4-AJ16)/(AJ3+AJ4))*100</f>
        <v>24.962462462462462</v>
      </c>
    </row>
    <row r="19" spans="1:37" ht="18" customHeight="1" x14ac:dyDescent="0.3">
      <c r="A19" s="107" t="s">
        <v>28</v>
      </c>
      <c r="B19" s="108"/>
      <c r="C19" s="109"/>
      <c r="D19" s="110">
        <f>(AJ3+AJ4+D17)-AJ16</f>
        <v>1861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  <c r="AK19" s="54"/>
    </row>
  </sheetData>
  <mergeCells count="22">
    <mergeCell ref="A19:C19"/>
    <mergeCell ref="D19:AJ19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  <mergeCell ref="D16:E16"/>
    <mergeCell ref="F16:L16"/>
    <mergeCell ref="M16:S16"/>
    <mergeCell ref="T16:Z16"/>
    <mergeCell ref="AA16:AG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9"/>
  <sheetViews>
    <sheetView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285156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2"/>
      <c r="B1" s="82"/>
      <c r="C1" s="83"/>
      <c r="D1" s="36" t="s">
        <v>4</v>
      </c>
      <c r="E1" s="37" t="s">
        <v>29</v>
      </c>
      <c r="F1" s="56" t="s">
        <v>9</v>
      </c>
      <c r="G1" s="36" t="s">
        <v>8</v>
      </c>
      <c r="H1" s="37" t="s">
        <v>7</v>
      </c>
      <c r="I1" s="36" t="s">
        <v>6</v>
      </c>
      <c r="J1" s="36" t="s">
        <v>5</v>
      </c>
      <c r="K1" s="36" t="s">
        <v>4</v>
      </c>
      <c r="L1" s="37" t="s">
        <v>29</v>
      </c>
      <c r="M1" s="56" t="s">
        <v>9</v>
      </c>
      <c r="N1" s="36" t="s">
        <v>8</v>
      </c>
      <c r="O1" s="37" t="s">
        <v>7</v>
      </c>
      <c r="P1" s="36" t="s">
        <v>6</v>
      </c>
      <c r="Q1" s="36" t="s">
        <v>5</v>
      </c>
      <c r="R1" s="36" t="s">
        <v>4</v>
      </c>
      <c r="S1" s="37" t="s">
        <v>29</v>
      </c>
      <c r="T1" s="56" t="s">
        <v>9</v>
      </c>
      <c r="U1" s="36" t="s">
        <v>8</v>
      </c>
      <c r="V1" s="37" t="s">
        <v>7</v>
      </c>
      <c r="W1" s="36" t="s">
        <v>6</v>
      </c>
      <c r="X1" s="36" t="s">
        <v>5</v>
      </c>
      <c r="Y1" s="36" t="s">
        <v>4</v>
      </c>
      <c r="Z1" s="37" t="s">
        <v>29</v>
      </c>
      <c r="AA1" s="56" t="s">
        <v>9</v>
      </c>
      <c r="AB1" s="36" t="s">
        <v>8</v>
      </c>
      <c r="AC1" s="37" t="s">
        <v>7</v>
      </c>
      <c r="AD1" s="36" t="s">
        <v>6</v>
      </c>
      <c r="AE1" s="36" t="s">
        <v>5</v>
      </c>
      <c r="AF1" s="36" t="s">
        <v>4</v>
      </c>
      <c r="AG1" s="37" t="s">
        <v>29</v>
      </c>
      <c r="AH1" s="36" t="s">
        <v>9</v>
      </c>
      <c r="AI1" s="86" t="s">
        <v>30</v>
      </c>
      <c r="AJ1" s="95" t="s">
        <v>31</v>
      </c>
      <c r="AK1" s="97" t="s">
        <v>10</v>
      </c>
    </row>
    <row r="2" spans="1:37" ht="18.95" customHeight="1" x14ac:dyDescent="0.3">
      <c r="A2" s="84"/>
      <c r="B2" s="84"/>
      <c r="C2" s="85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87"/>
      <c r="AJ2" s="96"/>
      <c r="AK2" s="98"/>
    </row>
    <row r="3" spans="1:37" ht="18.95" customHeight="1" x14ac:dyDescent="0.3">
      <c r="A3" s="99" t="s">
        <v>12</v>
      </c>
      <c r="B3" s="100"/>
      <c r="C3" s="58" t="s">
        <v>0</v>
      </c>
      <c r="D3" s="14"/>
      <c r="E3" s="15"/>
      <c r="F3" s="15"/>
      <c r="G3" s="15"/>
      <c r="H3" s="15"/>
      <c r="I3" s="18">
        <v>1456</v>
      </c>
      <c r="J3" s="16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>
        <v>880</v>
      </c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3">
        <f>AJ3/31</f>
        <v>75.354838709677423</v>
      </c>
      <c r="AJ3" s="48">
        <f>SUM(D3:AH3)</f>
        <v>2336</v>
      </c>
      <c r="AK3" s="105">
        <v>100</v>
      </c>
    </row>
    <row r="4" spans="1:37" ht="18.95" customHeight="1" x14ac:dyDescent="0.3">
      <c r="A4" s="101"/>
      <c r="B4" s="102"/>
      <c r="C4" s="59" t="s">
        <v>13</v>
      </c>
      <c r="D4" s="18">
        <v>20</v>
      </c>
      <c r="E4" s="18">
        <v>50</v>
      </c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>
        <v>50</v>
      </c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>
        <v>15</v>
      </c>
      <c r="AG4" s="19">
        <v>50</v>
      </c>
      <c r="AH4" s="18"/>
      <c r="AI4" s="104"/>
      <c r="AJ4" s="48">
        <f>SUM(D4:AH4)</f>
        <v>185</v>
      </c>
      <c r="AK4" s="106"/>
    </row>
    <row r="5" spans="1:37" ht="18.95" customHeight="1" x14ac:dyDescent="0.3">
      <c r="A5" s="88" t="s">
        <v>14</v>
      </c>
      <c r="B5" s="91" t="s">
        <v>15</v>
      </c>
      <c r="C5" s="60" t="s">
        <v>16</v>
      </c>
      <c r="D5" s="21"/>
      <c r="E5" s="2">
        <v>14</v>
      </c>
      <c r="F5" s="2"/>
      <c r="G5" s="2"/>
      <c r="H5" s="2">
        <v>19</v>
      </c>
      <c r="I5" s="2"/>
      <c r="J5" s="22">
        <v>5</v>
      </c>
      <c r="K5" s="2"/>
      <c r="L5" s="2"/>
      <c r="M5" s="2">
        <v>62</v>
      </c>
      <c r="N5" s="2">
        <v>11</v>
      </c>
      <c r="O5" s="2">
        <v>36</v>
      </c>
      <c r="P5" s="2">
        <v>8</v>
      </c>
      <c r="Q5" s="2"/>
      <c r="R5" s="2"/>
      <c r="S5" s="2"/>
      <c r="T5" s="2">
        <v>11</v>
      </c>
      <c r="U5" s="2"/>
      <c r="V5" s="2">
        <v>45</v>
      </c>
      <c r="W5" s="2">
        <v>18</v>
      </c>
      <c r="X5" s="2"/>
      <c r="Y5" s="2">
        <v>85</v>
      </c>
      <c r="Z5" s="2">
        <v>41</v>
      </c>
      <c r="AA5" s="2">
        <v>23</v>
      </c>
      <c r="AB5" s="2">
        <v>42</v>
      </c>
      <c r="AC5" s="21">
        <v>12</v>
      </c>
      <c r="AD5" s="2">
        <v>14</v>
      </c>
      <c r="AE5" s="23"/>
      <c r="AF5" s="2"/>
      <c r="AG5" s="23"/>
      <c r="AH5" s="2">
        <v>13</v>
      </c>
      <c r="AI5" s="43">
        <f t="shared" ref="AI5:AI16" si="0">AJ5/31</f>
        <v>14.806451612903226</v>
      </c>
      <c r="AJ5" s="32">
        <f>SUM(D5,E5,F5,G5,H5,I5,J5,K5,L5,M5,N5,O5,P5,Q5,R5,S5,T5,U5,V5,W5,X5,Y5,Z5,AA5,AB5,AC5,AD5,AE5,AF5,AG5,AH5)</f>
        <v>459</v>
      </c>
      <c r="AK5" s="3">
        <f>(AJ5/(AJ3+AJ4))*100</f>
        <v>18.207060690202301</v>
      </c>
    </row>
    <row r="6" spans="1:37" ht="18.95" customHeight="1" x14ac:dyDescent="0.3">
      <c r="A6" s="89"/>
      <c r="B6" s="91"/>
      <c r="C6" s="61" t="s">
        <v>17</v>
      </c>
      <c r="D6" s="4"/>
      <c r="E6" s="4">
        <v>28</v>
      </c>
      <c r="F6" s="4">
        <v>34</v>
      </c>
      <c r="G6" s="4">
        <v>7</v>
      </c>
      <c r="H6" s="4">
        <v>36</v>
      </c>
      <c r="I6" s="4">
        <v>19</v>
      </c>
      <c r="J6" s="24">
        <v>3</v>
      </c>
      <c r="K6" s="4"/>
      <c r="L6" s="4">
        <v>15</v>
      </c>
      <c r="M6" s="4"/>
      <c r="N6" s="4">
        <v>5</v>
      </c>
      <c r="O6" s="4">
        <v>5</v>
      </c>
      <c r="P6" s="4">
        <v>6</v>
      </c>
      <c r="Q6" s="4">
        <v>9</v>
      </c>
      <c r="R6" s="4">
        <v>23</v>
      </c>
      <c r="S6" s="4">
        <v>23</v>
      </c>
      <c r="T6" s="4">
        <v>15</v>
      </c>
      <c r="U6" s="4">
        <v>6</v>
      </c>
      <c r="V6" s="4">
        <v>11</v>
      </c>
      <c r="W6" s="4">
        <v>5</v>
      </c>
      <c r="X6" s="4">
        <v>7</v>
      </c>
      <c r="Y6" s="4"/>
      <c r="Z6" s="4">
        <v>15</v>
      </c>
      <c r="AA6" s="4">
        <v>5</v>
      </c>
      <c r="AB6" s="4">
        <v>6</v>
      </c>
      <c r="AC6" s="25">
        <v>20</v>
      </c>
      <c r="AD6" s="4">
        <v>6</v>
      </c>
      <c r="AE6" s="24">
        <v>32</v>
      </c>
      <c r="AF6" s="4"/>
      <c r="AG6" s="24">
        <v>25</v>
      </c>
      <c r="AH6" s="4">
        <v>5</v>
      </c>
      <c r="AI6" s="44">
        <f t="shared" si="0"/>
        <v>11.96774193548387</v>
      </c>
      <c r="AJ6" s="33">
        <f>SUM(D6,E6,F6,G6,H6,I6,J6,K6,L6,M6,N6,O6,P6,Q6,R6,S6,T6,U6,V6,W6,X6,Y6,Z6,AA6,AB6,AC6,AD6,AE6,AF6,AG6,AH6)</f>
        <v>371</v>
      </c>
      <c r="AK6" s="5">
        <f>(AJ6/(AJ3+AJ4))*100</f>
        <v>14.716382387941293</v>
      </c>
    </row>
    <row r="7" spans="1:37" ht="18.95" customHeight="1" x14ac:dyDescent="0.3">
      <c r="A7" s="89"/>
      <c r="B7" s="91"/>
      <c r="C7" s="61" t="s">
        <v>18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>
        <v>10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0.32258064516129031</v>
      </c>
      <c r="AJ7" s="33">
        <f>SUM(D7,E7,F7,G7,H7,I7,J7,K7,L7,M7,N7,O7,P7,Q7,R7,S7,T7,U7,V7,W7,X7,Y7,Z7,AA7,AB7,AC7,AD7,AE7,AF7,AG7,AH7)</f>
        <v>10</v>
      </c>
      <c r="AK7" s="5">
        <f>(AJ7/(AJ3+AJ4))*100</f>
        <v>0.39666798889329624</v>
      </c>
    </row>
    <row r="8" spans="1:37" ht="18.95" customHeight="1" x14ac:dyDescent="0.3">
      <c r="A8" s="89"/>
      <c r="B8" s="91"/>
      <c r="C8" s="62" t="s">
        <v>19</v>
      </c>
      <c r="D8" s="38"/>
      <c r="E8" s="39"/>
      <c r="F8" s="39"/>
      <c r="G8" s="39">
        <v>10</v>
      </c>
      <c r="H8" s="39"/>
      <c r="I8" s="39"/>
      <c r="J8" s="40"/>
      <c r="K8" s="39"/>
      <c r="L8" s="39"/>
      <c r="M8" s="39">
        <v>21</v>
      </c>
      <c r="N8" s="39"/>
      <c r="O8" s="39"/>
      <c r="P8" s="39"/>
      <c r="Q8" s="39"/>
      <c r="R8" s="39"/>
      <c r="S8" s="39"/>
      <c r="T8" s="39"/>
      <c r="U8" s="39">
        <v>42</v>
      </c>
      <c r="V8" s="39">
        <v>3</v>
      </c>
      <c r="W8" s="39"/>
      <c r="X8" s="39"/>
      <c r="Y8" s="39"/>
      <c r="Z8" s="39"/>
      <c r="AA8" s="39"/>
      <c r="AB8" s="39"/>
      <c r="AC8" s="38"/>
      <c r="AD8" s="39"/>
      <c r="AE8" s="40"/>
      <c r="AF8" s="39"/>
      <c r="AG8" s="40"/>
      <c r="AH8" s="39">
        <v>6</v>
      </c>
      <c r="AI8" s="47">
        <f t="shared" si="0"/>
        <v>2.6451612903225805</v>
      </c>
      <c r="AJ8" s="41">
        <f>SUM(D8,E8,F8,G8,H8,I8,J8,K8,L8,M8,N8,O8,P8,Q8,R8,S8,T8,U8,V8,W8,X8,Y8,Z8,AA8,AB8,AC8,AD8,AE8,AF8,AG8,AH8)</f>
        <v>82</v>
      </c>
      <c r="AK8" s="42">
        <f>(AJ8/(AJ3+AJ4))*100</f>
        <v>3.2526775089250295</v>
      </c>
    </row>
    <row r="9" spans="1:37" ht="18.95" customHeight="1" x14ac:dyDescent="0.3">
      <c r="A9" s="89"/>
      <c r="B9" s="91"/>
      <c r="C9" s="60" t="s">
        <v>1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>
        <v>485</v>
      </c>
      <c r="V9" s="2"/>
      <c r="W9" s="2"/>
      <c r="X9" s="2"/>
      <c r="Y9" s="2"/>
      <c r="Z9" s="2"/>
      <c r="AA9" s="2"/>
      <c r="AB9" s="2">
        <v>100</v>
      </c>
      <c r="AC9" s="21"/>
      <c r="AD9" s="2"/>
      <c r="AE9" s="23"/>
      <c r="AF9" s="2"/>
      <c r="AG9" s="23"/>
      <c r="AH9" s="2"/>
      <c r="AI9" s="43">
        <f t="shared" si="0"/>
        <v>18.870967741935484</v>
      </c>
      <c r="AJ9" s="32">
        <f>SUM(D9,E9,F9,G9,H9,I9,J9,K9,L9,M9,N9,O9,P9,Q9,R9,S9,T9,U9,V9,W9,X9,Y9,Z9,AA9,AB9,AC9,AD9,AE9,AF9,AG9,AH9)</f>
        <v>585</v>
      </c>
      <c r="AK9" s="3">
        <f>(AJ9/(AJ3+AJ4))*100</f>
        <v>23.205077350257834</v>
      </c>
    </row>
    <row r="10" spans="1:37" ht="18.95" customHeight="1" x14ac:dyDescent="0.3">
      <c r="A10" s="89"/>
      <c r="B10" s="91"/>
      <c r="C10" s="61" t="s">
        <v>20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9"/>
      <c r="B11" s="91"/>
      <c r="C11" s="61" t="s">
        <v>21</v>
      </c>
      <c r="D11" s="21"/>
      <c r="E11" s="2"/>
      <c r="F11" s="2">
        <v>21</v>
      </c>
      <c r="G11" s="2"/>
      <c r="H11" s="2"/>
      <c r="I11" s="2">
        <v>212</v>
      </c>
      <c r="J11" s="22"/>
      <c r="K11" s="2"/>
      <c r="L11" s="2"/>
      <c r="M11" s="2"/>
      <c r="N11" s="2"/>
      <c r="O11" s="2"/>
      <c r="P11" s="2"/>
      <c r="Q11" s="2"/>
      <c r="R11" s="2"/>
      <c r="S11" s="2"/>
      <c r="T11" s="2"/>
      <c r="U11" s="2">
        <v>8</v>
      </c>
      <c r="V11" s="2"/>
      <c r="W11" s="2"/>
      <c r="X11" s="2"/>
      <c r="Y11" s="2"/>
      <c r="Z11" s="2"/>
      <c r="AA11" s="2"/>
      <c r="AB11" s="2"/>
      <c r="AC11" s="21"/>
      <c r="AD11" s="2">
        <v>50</v>
      </c>
      <c r="AE11" s="23">
        <v>3</v>
      </c>
      <c r="AF11" s="2"/>
      <c r="AG11" s="23"/>
      <c r="AH11" s="2">
        <v>4</v>
      </c>
      <c r="AI11" s="43">
        <f t="shared" si="0"/>
        <v>9.612903225806452</v>
      </c>
      <c r="AJ11" s="32">
        <f>SUM(D11,E11,F11,G11,H11,I11,J11,K11,L11,M11,N11,O11,P11,Q11,R11,S11,T11,U11,V11,W11,X11,Y11,Z11,AA11,AB11,AC11,AD11,AE11,AF11,AG11,AH11)</f>
        <v>298</v>
      </c>
      <c r="AK11" s="3">
        <f>(AJ11/(AJ3+AJ4))*100</f>
        <v>11.820706069020231</v>
      </c>
    </row>
    <row r="12" spans="1:37" ht="18.95" customHeight="1" x14ac:dyDescent="0.3">
      <c r="A12" s="89"/>
      <c r="B12" s="92" t="s">
        <v>22</v>
      </c>
      <c r="C12" s="63" t="s">
        <v>2</v>
      </c>
      <c r="D12" s="6"/>
      <c r="E12" s="6"/>
      <c r="F12" s="6">
        <v>75</v>
      </c>
      <c r="G12" s="6">
        <v>15</v>
      </c>
      <c r="H12" s="6">
        <v>11</v>
      </c>
      <c r="I12" s="6"/>
      <c r="J12" s="26"/>
      <c r="K12" s="6"/>
      <c r="L12" s="6">
        <v>34</v>
      </c>
      <c r="M12" s="6"/>
      <c r="N12" s="6"/>
      <c r="O12" s="6"/>
      <c r="P12" s="6"/>
      <c r="Q12" s="6"/>
      <c r="R12" s="6">
        <v>11</v>
      </c>
      <c r="S12" s="6">
        <v>16</v>
      </c>
      <c r="T12" s="6"/>
      <c r="U12" s="6"/>
      <c r="V12" s="6"/>
      <c r="W12" s="6"/>
      <c r="X12" s="6"/>
      <c r="Y12" s="6"/>
      <c r="Z12" s="6">
        <v>10</v>
      </c>
      <c r="AA12" s="6"/>
      <c r="AB12" s="6"/>
      <c r="AC12" s="27"/>
      <c r="AD12" s="6"/>
      <c r="AE12" s="26">
        <v>19</v>
      </c>
      <c r="AF12" s="6">
        <v>26</v>
      </c>
      <c r="AG12" s="26"/>
      <c r="AH12" s="6"/>
      <c r="AI12" s="45">
        <f t="shared" si="0"/>
        <v>7</v>
      </c>
      <c r="AJ12" s="34">
        <f>SUM(D12,E12,F12,G12,H12,I12,J12,K12,L12,M12,N12,O12,P12,Q12,R12,S12,T12,U12,V12,W12,X12,Y12,Z12,AA12,AB12,AC12,AD12,AE12,AF12,AG12,AH12)</f>
        <v>217</v>
      </c>
      <c r="AK12" s="7">
        <f>(AJ12/(AJ3+AJ4))*100</f>
        <v>8.6076953589845289</v>
      </c>
    </row>
    <row r="13" spans="1:37" ht="18.95" customHeight="1" x14ac:dyDescent="0.3">
      <c r="A13" s="89"/>
      <c r="B13" s="93"/>
      <c r="C13" s="63" t="s">
        <v>32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>
        <v>7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0.22580645161290322</v>
      </c>
      <c r="AJ13" s="35">
        <f t="shared" si="1"/>
        <v>7</v>
      </c>
      <c r="AK13" s="9">
        <f>(AJ13/(AJ3+AJ4))*100</f>
        <v>0.2776675922253074</v>
      </c>
    </row>
    <row r="14" spans="1:37" ht="18.95" customHeight="1" x14ac:dyDescent="0.3">
      <c r="A14" s="89"/>
      <c r="B14" s="93"/>
      <c r="C14" s="57" t="s">
        <v>23</v>
      </c>
      <c r="D14" s="6">
        <v>100</v>
      </c>
      <c r="E14" s="6"/>
      <c r="F14" s="6"/>
      <c r="G14" s="6"/>
      <c r="H14" s="6"/>
      <c r="I14" s="6"/>
      <c r="J14" s="26"/>
      <c r="K14" s="6"/>
      <c r="L14" s="6"/>
      <c r="M14" s="6"/>
      <c r="N14" s="6"/>
      <c r="O14" s="6"/>
      <c r="P14" s="6">
        <v>100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6.4516129032258061</v>
      </c>
      <c r="AJ14" s="34">
        <f t="shared" si="1"/>
        <v>200</v>
      </c>
      <c r="AK14" s="7">
        <f>(AJ14/(AJ3+AJ4))*100</f>
        <v>7.9333597778659266</v>
      </c>
    </row>
    <row r="15" spans="1:37" ht="18.95" customHeight="1" x14ac:dyDescent="0.3">
      <c r="A15" s="89"/>
      <c r="B15" s="94"/>
      <c r="C15" s="63" t="s">
        <v>24</v>
      </c>
      <c r="D15" s="51"/>
      <c r="E15" s="51"/>
      <c r="F15" s="51">
        <v>100</v>
      </c>
      <c r="G15" s="51"/>
      <c r="H15" s="51"/>
      <c r="I15" s="51">
        <v>35</v>
      </c>
      <c r="J15" s="50"/>
      <c r="K15" s="51"/>
      <c r="L15" s="51"/>
      <c r="M15" s="51"/>
      <c r="N15" s="51"/>
      <c r="O15" s="51"/>
      <c r="P15" s="51"/>
      <c r="Q15" s="51">
        <v>60</v>
      </c>
      <c r="R15" s="51"/>
      <c r="S15" s="51">
        <v>20</v>
      </c>
      <c r="T15" s="51"/>
      <c r="U15" s="51"/>
      <c r="V15" s="51"/>
      <c r="W15" s="51"/>
      <c r="X15" s="51"/>
      <c r="Y15" s="51"/>
      <c r="Z15" s="51"/>
      <c r="AA15" s="51"/>
      <c r="AB15" s="51"/>
      <c r="AC15" s="52"/>
      <c r="AD15" s="51"/>
      <c r="AE15" s="50"/>
      <c r="AF15" s="51">
        <v>15</v>
      </c>
      <c r="AG15" s="50"/>
      <c r="AH15" s="51"/>
      <c r="AI15" s="45">
        <f t="shared" si="0"/>
        <v>7.419354838709677</v>
      </c>
      <c r="AJ15" s="34">
        <f>SUM(D15,E15,F15,G15,H15,I15,J15,K15,L15,M15,N15,O15,P15,Q15,R15,S15,T15,U15,V15,W15,X15,Y15,Z15,AA15,AB15,AC15,AD15,AE15,AF15,AG15,AH15)</f>
        <v>230</v>
      </c>
      <c r="AK15" s="7">
        <f>(AJ15/(AJ3+AJ4))*100</f>
        <v>9.1233637445458147</v>
      </c>
    </row>
    <row r="16" spans="1:37" ht="18.399999999999999" customHeight="1" x14ac:dyDescent="0.3">
      <c r="A16" s="90"/>
      <c r="B16" s="79" t="s">
        <v>25</v>
      </c>
      <c r="C16" s="80"/>
      <c r="D16" s="79">
        <f>SUM(D5:E15)+510</f>
        <v>652</v>
      </c>
      <c r="E16" s="81"/>
      <c r="F16" s="79">
        <f>SUM(F5:L15)</f>
        <v>651</v>
      </c>
      <c r="G16" s="80"/>
      <c r="H16" s="80"/>
      <c r="I16" s="80"/>
      <c r="J16" s="80"/>
      <c r="K16" s="80"/>
      <c r="L16" s="81"/>
      <c r="M16" s="79">
        <f>SUM(M5:S15)</f>
        <v>433</v>
      </c>
      <c r="N16" s="80"/>
      <c r="O16" s="80"/>
      <c r="P16" s="80"/>
      <c r="Q16" s="80"/>
      <c r="R16" s="80"/>
      <c r="S16" s="81"/>
      <c r="T16" s="79">
        <f>SUM(T5:Z15)</f>
        <v>807</v>
      </c>
      <c r="U16" s="80"/>
      <c r="V16" s="80"/>
      <c r="W16" s="80"/>
      <c r="X16" s="80"/>
      <c r="Y16" s="80"/>
      <c r="Z16" s="81"/>
      <c r="AA16" s="79">
        <f>SUM(AA5:AG15)</f>
        <v>398</v>
      </c>
      <c r="AB16" s="80"/>
      <c r="AC16" s="80"/>
      <c r="AD16" s="80"/>
      <c r="AE16" s="80"/>
      <c r="AF16" s="80"/>
      <c r="AG16" s="81"/>
      <c r="AH16" s="67"/>
      <c r="AI16" s="53">
        <f t="shared" si="0"/>
        <v>79.322580645161295</v>
      </c>
      <c r="AJ16" s="49">
        <f>SUM(AJ5,AJ6,AJ7,AJ8,AJ9,AJ10,AJ11,AJ12,AJ13,AJ14,AJ15)</f>
        <v>2459</v>
      </c>
      <c r="AK16" s="10">
        <f>SUM(AK5,AK6,AK7,AK8,AK9,AK10,AK11,AK12,AK13,AK14,AK15)</f>
        <v>97.540658468861579</v>
      </c>
    </row>
    <row r="17" spans="1:37" ht="18" customHeight="1" x14ac:dyDescent="0.3">
      <c r="A17" s="113" t="s">
        <v>26</v>
      </c>
      <c r="B17" s="113"/>
      <c r="C17" s="114"/>
      <c r="D17" s="115">
        <v>1861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7"/>
      <c r="AJ17" s="118"/>
      <c r="AK17" s="66"/>
    </row>
    <row r="18" spans="1:37" ht="18" customHeight="1" x14ac:dyDescent="0.3">
      <c r="A18" s="108" t="s">
        <v>27</v>
      </c>
      <c r="B18" s="108"/>
      <c r="C18" s="109"/>
      <c r="D18" s="119">
        <f>((AJ3+AJ4+D17)-AJ16)-D17</f>
        <v>62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8"/>
      <c r="AK18" s="31">
        <f>((AJ3+AJ4-AJ16)/(AJ3+AJ4))*100</f>
        <v>2.459341531138437</v>
      </c>
    </row>
    <row r="19" spans="1:37" ht="18" customHeight="1" x14ac:dyDescent="0.3">
      <c r="A19" s="107" t="s">
        <v>28</v>
      </c>
      <c r="B19" s="108"/>
      <c r="C19" s="109"/>
      <c r="D19" s="110">
        <f>(AJ3+AJ4+D17)-AJ16</f>
        <v>1923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  <c r="AK19" s="54"/>
    </row>
  </sheetData>
  <mergeCells count="22">
    <mergeCell ref="A1:C2"/>
    <mergeCell ref="AI1:AI2"/>
    <mergeCell ref="AJ1:AJ2"/>
    <mergeCell ref="AK1:AK2"/>
    <mergeCell ref="A3:B4"/>
    <mergeCell ref="AI3:AI4"/>
    <mergeCell ref="AK3:AK4"/>
    <mergeCell ref="A19:C19"/>
    <mergeCell ref="D19:AJ19"/>
    <mergeCell ref="M16:S16"/>
    <mergeCell ref="T16:Z16"/>
    <mergeCell ref="AA16:AG16"/>
    <mergeCell ref="A17:C17"/>
    <mergeCell ref="D17:AJ17"/>
    <mergeCell ref="A18:C18"/>
    <mergeCell ref="D18:AJ18"/>
    <mergeCell ref="A5:A16"/>
    <mergeCell ref="B5:B11"/>
    <mergeCell ref="B12:B15"/>
    <mergeCell ref="B16:C16"/>
    <mergeCell ref="D16:E16"/>
    <mergeCell ref="F16:L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4"/>
  <sheetViews>
    <sheetView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425781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2"/>
      <c r="B1" s="82"/>
      <c r="C1" s="83"/>
      <c r="D1" s="36" t="s">
        <v>8</v>
      </c>
      <c r="E1" s="37" t="s">
        <v>7</v>
      </c>
      <c r="F1" s="36" t="s">
        <v>6</v>
      </c>
      <c r="G1" s="36" t="s">
        <v>5</v>
      </c>
      <c r="H1" s="36" t="s">
        <v>4</v>
      </c>
      <c r="I1" s="37" t="s">
        <v>29</v>
      </c>
      <c r="J1" s="56" t="s">
        <v>9</v>
      </c>
      <c r="K1" s="36" t="s">
        <v>8</v>
      </c>
      <c r="L1" s="37" t="s">
        <v>7</v>
      </c>
      <c r="M1" s="36" t="s">
        <v>6</v>
      </c>
      <c r="N1" s="36" t="s">
        <v>5</v>
      </c>
      <c r="O1" s="36" t="s">
        <v>4</v>
      </c>
      <c r="P1" s="37" t="s">
        <v>29</v>
      </c>
      <c r="Q1" s="56" t="s">
        <v>9</v>
      </c>
      <c r="R1" s="36" t="s">
        <v>8</v>
      </c>
      <c r="S1" s="37" t="s">
        <v>7</v>
      </c>
      <c r="T1" s="36" t="s">
        <v>6</v>
      </c>
      <c r="U1" s="36" t="s">
        <v>5</v>
      </c>
      <c r="V1" s="36" t="s">
        <v>4</v>
      </c>
      <c r="W1" s="37" t="s">
        <v>29</v>
      </c>
      <c r="X1" s="56" t="s">
        <v>9</v>
      </c>
      <c r="Y1" s="36" t="s">
        <v>8</v>
      </c>
      <c r="Z1" s="37" t="s">
        <v>7</v>
      </c>
      <c r="AA1" s="36" t="s">
        <v>6</v>
      </c>
      <c r="AB1" s="36" t="s">
        <v>5</v>
      </c>
      <c r="AC1" s="36" t="s">
        <v>4</v>
      </c>
      <c r="AD1" s="37" t="s">
        <v>29</v>
      </c>
      <c r="AE1" s="56" t="s">
        <v>9</v>
      </c>
      <c r="AF1" s="36" t="s">
        <v>8</v>
      </c>
      <c r="AG1" s="37" t="s">
        <v>7</v>
      </c>
      <c r="AH1" s="36" t="s">
        <v>6</v>
      </c>
      <c r="AI1" s="86" t="s">
        <v>30</v>
      </c>
      <c r="AJ1" s="95" t="s">
        <v>31</v>
      </c>
      <c r="AK1" s="97" t="s">
        <v>10</v>
      </c>
    </row>
    <row r="2" spans="1:37" ht="18.95" customHeight="1" x14ac:dyDescent="0.3">
      <c r="A2" s="84"/>
      <c r="B2" s="84"/>
      <c r="C2" s="85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87"/>
      <c r="AJ2" s="96"/>
      <c r="AK2" s="98"/>
    </row>
    <row r="3" spans="1:37" ht="18.95" customHeight="1" x14ac:dyDescent="0.3">
      <c r="A3" s="99" t="s">
        <v>12</v>
      </c>
      <c r="B3" s="100"/>
      <c r="C3" s="58" t="s">
        <v>0</v>
      </c>
      <c r="D3" s="14"/>
      <c r="E3" s="15"/>
      <c r="F3" s="15"/>
      <c r="G3" s="15"/>
      <c r="H3" s="15"/>
      <c r="I3" s="18"/>
      <c r="J3" s="16"/>
      <c r="K3" s="15">
        <v>2159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>
        <v>630</v>
      </c>
      <c r="Z3" s="15"/>
      <c r="AA3" s="15"/>
      <c r="AB3" s="15"/>
      <c r="AC3" s="14"/>
      <c r="AD3" s="15"/>
      <c r="AE3" s="17"/>
      <c r="AF3" s="15">
        <v>250</v>
      </c>
      <c r="AG3" s="17"/>
      <c r="AH3" s="15"/>
      <c r="AI3" s="103">
        <f>AJ3/31</f>
        <v>98.032258064516128</v>
      </c>
      <c r="AJ3" s="48">
        <f>SUM(D3:AH3)</f>
        <v>3039</v>
      </c>
      <c r="AK3" s="105">
        <v>100</v>
      </c>
    </row>
    <row r="4" spans="1:37" ht="18.95" customHeight="1" x14ac:dyDescent="0.3">
      <c r="A4" s="101"/>
      <c r="B4" s="102"/>
      <c r="C4" s="59" t="s">
        <v>13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>
        <v>40</v>
      </c>
      <c r="Q4" s="18"/>
      <c r="R4" s="18"/>
      <c r="S4" s="18"/>
      <c r="T4" s="18">
        <v>110</v>
      </c>
      <c r="U4" s="18">
        <v>300</v>
      </c>
      <c r="V4" s="18">
        <v>600</v>
      </c>
      <c r="W4" s="18"/>
      <c r="X4" s="18">
        <v>40</v>
      </c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104"/>
      <c r="AJ4" s="48">
        <f>SUM(D4:AH4)</f>
        <v>1090</v>
      </c>
      <c r="AK4" s="106"/>
    </row>
    <row r="5" spans="1:37" ht="18.95" customHeight="1" x14ac:dyDescent="0.3">
      <c r="A5" s="88" t="s">
        <v>14</v>
      </c>
      <c r="B5" s="91" t="s">
        <v>15</v>
      </c>
      <c r="C5" s="60" t="s">
        <v>16</v>
      </c>
      <c r="D5" s="21"/>
      <c r="E5" s="2">
        <v>40</v>
      </c>
      <c r="F5" s="2">
        <v>4</v>
      </c>
      <c r="G5" s="2">
        <v>19</v>
      </c>
      <c r="H5" s="2">
        <v>15</v>
      </c>
      <c r="I5" s="2">
        <v>47</v>
      </c>
      <c r="J5" s="22">
        <v>12</v>
      </c>
      <c r="K5" s="2">
        <v>18</v>
      </c>
      <c r="L5" s="2"/>
      <c r="M5" s="2">
        <v>43</v>
      </c>
      <c r="N5" s="2"/>
      <c r="O5" s="2"/>
      <c r="P5" s="2"/>
      <c r="Q5" s="2">
        <v>28</v>
      </c>
      <c r="R5" s="2"/>
      <c r="S5" s="2">
        <v>2</v>
      </c>
      <c r="T5" s="2">
        <v>109</v>
      </c>
      <c r="U5" s="2"/>
      <c r="V5" s="2"/>
      <c r="W5" s="2"/>
      <c r="X5" s="2">
        <v>5</v>
      </c>
      <c r="Y5" s="2"/>
      <c r="Z5" s="2"/>
      <c r="AA5" s="2">
        <v>21</v>
      </c>
      <c r="AB5" s="2">
        <v>55</v>
      </c>
      <c r="AC5" s="21">
        <v>23</v>
      </c>
      <c r="AD5" s="2">
        <v>20</v>
      </c>
      <c r="AE5" s="23"/>
      <c r="AF5" s="2">
        <v>10</v>
      </c>
      <c r="AG5" s="23"/>
      <c r="AH5" s="2"/>
      <c r="AI5" s="43">
        <f t="shared" ref="AI5:AI16" si="0">AJ5/31</f>
        <v>15.193548387096774</v>
      </c>
      <c r="AJ5" s="32">
        <f>SUM(D5,E5,F5,G5,H5,I5,J5,K5,L5,M5,N5,O5,P5,Q5,R5,S5,T5,U5,V5,W5,X5,Y5,Z5,AA5,AB5,AC5,AD5,AE5,AF5,AG5,AH5)</f>
        <v>471</v>
      </c>
      <c r="AK5" s="3">
        <f>(AJ5/(AJ3+AJ4))*100</f>
        <v>11.407120368127877</v>
      </c>
    </row>
    <row r="6" spans="1:37" ht="18.95" customHeight="1" x14ac:dyDescent="0.3">
      <c r="A6" s="89"/>
      <c r="B6" s="91"/>
      <c r="C6" s="61" t="s">
        <v>17</v>
      </c>
      <c r="D6" s="4">
        <v>6</v>
      </c>
      <c r="E6" s="4">
        <v>11</v>
      </c>
      <c r="F6" s="4">
        <v>6</v>
      </c>
      <c r="G6" s="4">
        <v>17</v>
      </c>
      <c r="H6" s="4">
        <v>9</v>
      </c>
      <c r="I6" s="4">
        <v>12</v>
      </c>
      <c r="J6" s="24">
        <v>9</v>
      </c>
      <c r="K6" s="4">
        <v>5</v>
      </c>
      <c r="L6" s="4">
        <v>11</v>
      </c>
      <c r="M6" s="4">
        <v>9</v>
      </c>
      <c r="N6" s="4">
        <v>29</v>
      </c>
      <c r="O6" s="4"/>
      <c r="P6" s="4">
        <v>6</v>
      </c>
      <c r="Q6" s="4">
        <v>6</v>
      </c>
      <c r="R6" s="4">
        <v>5</v>
      </c>
      <c r="S6" s="4">
        <v>3</v>
      </c>
      <c r="T6" s="4">
        <v>3</v>
      </c>
      <c r="U6" s="4">
        <v>26</v>
      </c>
      <c r="V6" s="4"/>
      <c r="W6" s="4"/>
      <c r="X6" s="4">
        <v>20</v>
      </c>
      <c r="Y6" s="4">
        <v>11</v>
      </c>
      <c r="Z6" s="4">
        <v>5</v>
      </c>
      <c r="AA6" s="4">
        <v>12</v>
      </c>
      <c r="AB6" s="4">
        <v>9</v>
      </c>
      <c r="AC6" s="25"/>
      <c r="AD6" s="4">
        <v>6</v>
      </c>
      <c r="AE6" s="24">
        <v>7</v>
      </c>
      <c r="AF6" s="4">
        <v>33</v>
      </c>
      <c r="AG6" s="24">
        <v>23</v>
      </c>
      <c r="AH6" s="4"/>
      <c r="AI6" s="44">
        <f t="shared" si="0"/>
        <v>9.6451612903225801</v>
      </c>
      <c r="AJ6" s="33">
        <f>SUM(D6,E6,F6,G6,H6,I6,J6,K6,L6,M6,N6,O6,P6,Q6,R6,S6,T6,U6,V6,W6,X6,Y6,Z6,AA6,AB6,AC6,AD6,AE6,AF6,AG6,AH6)</f>
        <v>299</v>
      </c>
      <c r="AK6" s="5">
        <f>(AJ6/(AJ3+AJ4))*100</f>
        <v>7.2414628239283116</v>
      </c>
    </row>
    <row r="7" spans="1:37" ht="18.95" customHeight="1" x14ac:dyDescent="0.3">
      <c r="A7" s="89"/>
      <c r="B7" s="91"/>
      <c r="C7" s="61" t="s">
        <v>18</v>
      </c>
      <c r="D7" s="25"/>
      <c r="E7" s="4"/>
      <c r="F7" s="4"/>
      <c r="G7" s="4"/>
      <c r="H7" s="4"/>
      <c r="I7" s="4"/>
      <c r="J7" s="24"/>
      <c r="K7" s="4"/>
      <c r="L7" s="4"/>
      <c r="M7" s="4"/>
      <c r="N7" s="4">
        <v>520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16.774193548387096</v>
      </c>
      <c r="AJ7" s="33">
        <f>SUM(D7,E7,F7,G7,H7,I7,J7,K7,L7,M7,N7,O7,P7,Q7,R7,S7,T7,U7,V7,W7,X7,Y7,Z7,AA7,AB7,AC7,AD7,AE7,AF7,AG7,AH7)</f>
        <v>520</v>
      </c>
      <c r="AK7" s="5">
        <f>(AJ7/(AJ3+AJ4))*100</f>
        <v>12.593848389440543</v>
      </c>
    </row>
    <row r="8" spans="1:37" ht="18.95" customHeight="1" x14ac:dyDescent="0.3">
      <c r="A8" s="89"/>
      <c r="B8" s="91"/>
      <c r="C8" s="62" t="s">
        <v>19</v>
      </c>
      <c r="D8" s="38"/>
      <c r="E8" s="39"/>
      <c r="F8" s="39"/>
      <c r="G8" s="39"/>
      <c r="H8" s="39"/>
      <c r="I8" s="39"/>
      <c r="J8" s="40">
        <v>25</v>
      </c>
      <c r="K8" s="39"/>
      <c r="L8" s="39"/>
      <c r="M8" s="39">
        <v>23</v>
      </c>
      <c r="N8" s="39"/>
      <c r="O8" s="39"/>
      <c r="P8" s="39"/>
      <c r="Q8" s="39"/>
      <c r="R8" s="39"/>
      <c r="S8" s="39">
        <v>3</v>
      </c>
      <c r="T8" s="39"/>
      <c r="U8" s="39"/>
      <c r="V8" s="39"/>
      <c r="W8" s="39"/>
      <c r="X8" s="39"/>
      <c r="Y8" s="39"/>
      <c r="Z8" s="39">
        <v>9</v>
      </c>
      <c r="AA8" s="39"/>
      <c r="AB8" s="39"/>
      <c r="AC8" s="38"/>
      <c r="AD8" s="39"/>
      <c r="AE8" s="40"/>
      <c r="AF8" s="39">
        <v>83</v>
      </c>
      <c r="AG8" s="40"/>
      <c r="AH8" s="39"/>
      <c r="AI8" s="47">
        <f t="shared" si="0"/>
        <v>4.612903225806452</v>
      </c>
      <c r="AJ8" s="41">
        <f>SUM(D8,E8,F8,G8,H8,I8,J8,K8,L8,M8,N8,O8,P8,Q8,R8,S8,T8,U8,V8,W8,X8,Y8,Z8,AA8,AB8,AC8,AD8,AE8,AF8,AG8,AH8)</f>
        <v>143</v>
      </c>
      <c r="AK8" s="42">
        <f>(AJ8/(AJ3+AJ4))*100</f>
        <v>3.463308307096149</v>
      </c>
    </row>
    <row r="9" spans="1:37" ht="18.95" customHeight="1" x14ac:dyDescent="0.3">
      <c r="A9" s="89"/>
      <c r="B9" s="91"/>
      <c r="C9" s="60" t="s">
        <v>1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>
        <v>407</v>
      </c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/>
      <c r="AG9" s="23"/>
      <c r="AH9" s="2"/>
      <c r="AI9" s="43">
        <f t="shared" si="0"/>
        <v>13.129032258064516</v>
      </c>
      <c r="AJ9" s="32">
        <f>SUM(D9,E9,F9,G9,H9,I9,J9,K9,L9,M9,N9,O9,P9,Q9,R9,S9,T9,U9,V9,W9,X9,Y9,Z9,AA9,AB9,AC9,AD9,AE9,AF9,AG9,AH9)</f>
        <v>407</v>
      </c>
      <c r="AK9" s="3">
        <f>(AJ9/(AJ3+AJ4))*100</f>
        <v>9.8571082586582701</v>
      </c>
    </row>
    <row r="10" spans="1:37" ht="18.95" customHeight="1" x14ac:dyDescent="0.3">
      <c r="A10" s="89"/>
      <c r="B10" s="91"/>
      <c r="C10" s="61" t="s">
        <v>20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9"/>
      <c r="B11" s="91"/>
      <c r="C11" s="61" t="s">
        <v>21</v>
      </c>
      <c r="D11" s="21">
        <v>40</v>
      </c>
      <c r="E11" s="2"/>
      <c r="F11" s="2">
        <v>19</v>
      </c>
      <c r="G11" s="2"/>
      <c r="H11" s="2"/>
      <c r="I11" s="2">
        <v>20</v>
      </c>
      <c r="J11" s="22"/>
      <c r="K11" s="2"/>
      <c r="L11" s="2"/>
      <c r="M11" s="2">
        <v>18</v>
      </c>
      <c r="N11" s="2"/>
      <c r="O11" s="2"/>
      <c r="P11" s="2"/>
      <c r="Q11" s="2"/>
      <c r="R11" s="2"/>
      <c r="S11" s="2">
        <v>30</v>
      </c>
      <c r="T11" s="2"/>
      <c r="U11" s="2"/>
      <c r="V11" s="2"/>
      <c r="W11" s="2"/>
      <c r="X11" s="2"/>
      <c r="Y11" s="2"/>
      <c r="Z11" s="2"/>
      <c r="AA11" s="2"/>
      <c r="AB11" s="2"/>
      <c r="AC11" s="21"/>
      <c r="AD11" s="2"/>
      <c r="AE11" s="23"/>
      <c r="AF11" s="2">
        <v>7</v>
      </c>
      <c r="AG11" s="23">
        <v>15</v>
      </c>
      <c r="AH11" s="2"/>
      <c r="AI11" s="43">
        <f t="shared" si="0"/>
        <v>4.806451612903226</v>
      </c>
      <c r="AJ11" s="32">
        <f>SUM(D11,E11,F11,G11,H11,I11,J11,K11,L11,M11,N11,O11,P11,Q11,R11,S11,T11,U11,V11,W11,X11,Y11,Z11,AA11,AB11,AC11,AD11,AE11,AF11,AG11,AH11)</f>
        <v>149</v>
      </c>
      <c r="AK11" s="3">
        <f>(AJ11/(AJ3+AJ4))*100</f>
        <v>3.608621942358925</v>
      </c>
    </row>
    <row r="12" spans="1:37" ht="18.95" customHeight="1" x14ac:dyDescent="0.3">
      <c r="A12" s="89"/>
      <c r="B12" s="92" t="s">
        <v>22</v>
      </c>
      <c r="C12" s="63" t="s">
        <v>2</v>
      </c>
      <c r="D12" s="6"/>
      <c r="E12" s="6"/>
      <c r="F12" s="6"/>
      <c r="G12" s="6"/>
      <c r="H12" s="6">
        <v>41</v>
      </c>
      <c r="I12" s="6"/>
      <c r="J12" s="26"/>
      <c r="K12" s="6"/>
      <c r="L12" s="6"/>
      <c r="M12" s="6"/>
      <c r="N12" s="6">
        <v>25</v>
      </c>
      <c r="O12" s="6">
        <v>24</v>
      </c>
      <c r="P12" s="6"/>
      <c r="Q12" s="6"/>
      <c r="R12" s="6"/>
      <c r="S12" s="6">
        <v>200</v>
      </c>
      <c r="T12" s="6">
        <v>80</v>
      </c>
      <c r="U12" s="6">
        <v>50</v>
      </c>
      <c r="V12" s="6"/>
      <c r="W12" s="6"/>
      <c r="X12" s="6"/>
      <c r="Y12" s="6"/>
      <c r="Z12" s="6"/>
      <c r="AA12" s="6">
        <v>7</v>
      </c>
      <c r="AB12" s="6"/>
      <c r="AC12" s="27"/>
      <c r="AD12" s="6">
        <v>24</v>
      </c>
      <c r="AE12" s="26"/>
      <c r="AF12" s="6"/>
      <c r="AG12" s="26">
        <v>18</v>
      </c>
      <c r="AH12" s="6"/>
      <c r="AI12" s="45">
        <f t="shared" si="0"/>
        <v>15.129032258064516</v>
      </c>
      <c r="AJ12" s="34">
        <f>SUM(D12,E12,F12,G12,H12,I12,J12,K12,L12,M12,N12,O12,P12,Q12,R12,S12,T12,U12,V12,W12,X12,Y12,Z12,AA12,AB12,AC12,AD12,AE12,AF12,AG12,AH12)</f>
        <v>469</v>
      </c>
      <c r="AK12" s="7">
        <f>(AJ12/(AJ3+AJ4))*100</f>
        <v>11.35868248970695</v>
      </c>
    </row>
    <row r="13" spans="1:37" ht="18.95" customHeight="1" x14ac:dyDescent="0.3">
      <c r="A13" s="89"/>
      <c r="B13" s="93"/>
      <c r="C13" s="63" t="s">
        <v>32</v>
      </c>
      <c r="D13" s="28"/>
      <c r="E13" s="8"/>
      <c r="F13" s="8"/>
      <c r="G13" s="8"/>
      <c r="H13" s="8">
        <v>39</v>
      </c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>
        <v>7</v>
      </c>
      <c r="X13" s="8"/>
      <c r="Y13" s="8"/>
      <c r="Z13" s="8"/>
      <c r="AA13" s="8"/>
      <c r="AB13" s="8"/>
      <c r="AC13" s="28"/>
      <c r="AD13" s="8">
        <v>19</v>
      </c>
      <c r="AE13" s="30"/>
      <c r="AF13" s="8"/>
      <c r="AG13" s="30"/>
      <c r="AH13" s="8"/>
      <c r="AI13" s="46">
        <f t="shared" si="0"/>
        <v>2.096774193548387</v>
      </c>
      <c r="AJ13" s="35">
        <f t="shared" si="1"/>
        <v>65</v>
      </c>
      <c r="AK13" s="9">
        <f>(AJ13/(AJ3+AJ4))*100</f>
        <v>1.5742310486800679</v>
      </c>
    </row>
    <row r="14" spans="1:37" ht="18.95" customHeight="1" x14ac:dyDescent="0.3">
      <c r="A14" s="89"/>
      <c r="B14" s="93"/>
      <c r="C14" s="57" t="s">
        <v>23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250</v>
      </c>
      <c r="V14" s="6">
        <v>625</v>
      </c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28.225806451612904</v>
      </c>
      <c r="AJ14" s="34">
        <f t="shared" si="1"/>
        <v>875</v>
      </c>
      <c r="AK14" s="7">
        <f>(AJ14/(AJ3+AJ4))*100</f>
        <v>21.191571809154759</v>
      </c>
    </row>
    <row r="15" spans="1:37" ht="18.95" customHeight="1" x14ac:dyDescent="0.3">
      <c r="A15" s="89"/>
      <c r="B15" s="94"/>
      <c r="C15" s="63" t="s">
        <v>24</v>
      </c>
      <c r="D15" s="51"/>
      <c r="E15" s="51"/>
      <c r="F15" s="51"/>
      <c r="G15" s="51">
        <v>30</v>
      </c>
      <c r="H15" s="51"/>
      <c r="I15" s="51"/>
      <c r="J15" s="50"/>
      <c r="K15" s="51"/>
      <c r="L15" s="51"/>
      <c r="M15" s="51"/>
      <c r="N15" s="51">
        <v>20</v>
      </c>
      <c r="O15" s="51">
        <v>20</v>
      </c>
      <c r="P15" s="51"/>
      <c r="Q15" s="51"/>
      <c r="R15" s="51"/>
      <c r="S15" s="51"/>
      <c r="T15" s="51">
        <v>250</v>
      </c>
      <c r="U15" s="51"/>
      <c r="V15" s="51"/>
      <c r="W15" s="51">
        <v>140</v>
      </c>
      <c r="X15" s="51"/>
      <c r="Y15" s="51"/>
      <c r="Z15" s="51"/>
      <c r="AA15" s="51"/>
      <c r="AB15" s="51">
        <v>50</v>
      </c>
      <c r="AC15" s="52"/>
      <c r="AD15" s="51"/>
      <c r="AE15" s="50"/>
      <c r="AF15" s="51"/>
      <c r="AG15" s="50"/>
      <c r="AH15" s="51"/>
      <c r="AI15" s="45">
        <f t="shared" si="0"/>
        <v>16.451612903225808</v>
      </c>
      <c r="AJ15" s="34">
        <f>SUM(D15,E15,F15,G15,H15,I15,J15,K15,L15,M15,N15,O15,P15,Q15,R15,S15,T15,U15,V15,W15,X15,Y15,Z15,AA15,AB15,AC15,AD15,AE15,AF15,AG15,AH15)</f>
        <v>510</v>
      </c>
      <c r="AK15" s="7">
        <f>(AJ15/(AJ3+AJ4))*100</f>
        <v>12.351658997335917</v>
      </c>
    </row>
    <row r="16" spans="1:37" ht="18.399999999999999" customHeight="1" x14ac:dyDescent="0.3">
      <c r="A16" s="90"/>
      <c r="B16" s="79" t="s">
        <v>25</v>
      </c>
      <c r="C16" s="80"/>
      <c r="D16" s="79">
        <f>SUM(D5:I15)+28</f>
        <v>403</v>
      </c>
      <c r="E16" s="80"/>
      <c r="F16" s="80"/>
      <c r="G16" s="80"/>
      <c r="H16" s="80"/>
      <c r="I16" s="81"/>
      <c r="J16" s="79">
        <f>SUM(J5:P15)</f>
        <v>817</v>
      </c>
      <c r="K16" s="80"/>
      <c r="L16" s="80"/>
      <c r="M16" s="80"/>
      <c r="N16" s="80"/>
      <c r="O16" s="80"/>
      <c r="P16" s="81"/>
      <c r="Q16" s="79">
        <f>SUM(Q5:W15)</f>
        <v>2224</v>
      </c>
      <c r="R16" s="80"/>
      <c r="S16" s="80"/>
      <c r="T16" s="80"/>
      <c r="U16" s="80"/>
      <c r="V16" s="80"/>
      <c r="W16" s="81"/>
      <c r="X16" s="79">
        <f>SUM(X5:AD15)</f>
        <v>296</v>
      </c>
      <c r="Y16" s="80"/>
      <c r="Z16" s="80"/>
      <c r="AA16" s="80"/>
      <c r="AB16" s="80"/>
      <c r="AC16" s="80"/>
      <c r="AD16" s="81"/>
      <c r="AE16" s="79">
        <f>SUM(AE5:AG15)</f>
        <v>196</v>
      </c>
      <c r="AF16" s="80"/>
      <c r="AG16" s="81"/>
      <c r="AH16" s="65"/>
      <c r="AI16" s="53">
        <f t="shared" si="0"/>
        <v>126.06451612903226</v>
      </c>
      <c r="AJ16" s="49">
        <f>SUM(AJ5,AJ6,AJ7,AJ8,AJ9,AJ10,AJ11,AJ12,AJ13,AJ14,AJ15)</f>
        <v>3908</v>
      </c>
      <c r="AK16" s="10">
        <f>SUM(AK5,AK6,AK7,AK8,AK9,AK10,AK11,AK12,AK13,AK14,AK15)</f>
        <v>94.647614434487778</v>
      </c>
    </row>
    <row r="17" spans="1:37" ht="18" customHeight="1" x14ac:dyDescent="0.3">
      <c r="A17" s="113" t="s">
        <v>26</v>
      </c>
      <c r="B17" s="113"/>
      <c r="C17" s="114"/>
      <c r="D17" s="115">
        <v>1923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7"/>
      <c r="AJ17" s="118"/>
      <c r="AK17" s="68"/>
    </row>
    <row r="18" spans="1:37" ht="18" customHeight="1" x14ac:dyDescent="0.3">
      <c r="A18" s="108" t="s">
        <v>27</v>
      </c>
      <c r="B18" s="108"/>
      <c r="C18" s="109"/>
      <c r="D18" s="119">
        <f>((AJ3+AJ4+D17)-AJ16)-D17</f>
        <v>221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8"/>
      <c r="AK18" s="31">
        <f>((AJ3+AJ4-AJ16)/(AJ3+AJ4))*100</f>
        <v>5.3523855655122308</v>
      </c>
    </row>
    <row r="19" spans="1:37" ht="18" customHeight="1" x14ac:dyDescent="0.3">
      <c r="A19" s="107" t="s">
        <v>28</v>
      </c>
      <c r="B19" s="108"/>
      <c r="C19" s="109"/>
      <c r="D19" s="110">
        <f>(AJ3+AJ4+D17)-AJ16</f>
        <v>2144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  <c r="AK19" s="54"/>
    </row>
    <row r="24" spans="1:37" x14ac:dyDescent="0.3">
      <c r="S24" s="1" t="s">
        <v>11</v>
      </c>
    </row>
  </sheetData>
  <mergeCells count="22">
    <mergeCell ref="A19:C19"/>
    <mergeCell ref="D19:AJ19"/>
    <mergeCell ref="D16:I16"/>
    <mergeCell ref="J16:P16"/>
    <mergeCell ref="Q16:W16"/>
    <mergeCell ref="X16:AD16"/>
    <mergeCell ref="AE16:AG16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4"/>
  <sheetViews>
    <sheetView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57031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2"/>
      <c r="B1" s="82"/>
      <c r="C1" s="83"/>
      <c r="D1" s="36" t="s">
        <v>6</v>
      </c>
      <c r="E1" s="36" t="s">
        <v>5</v>
      </c>
      <c r="F1" s="36" t="s">
        <v>4</v>
      </c>
      <c r="G1" s="37" t="s">
        <v>29</v>
      </c>
      <c r="H1" s="56" t="s">
        <v>9</v>
      </c>
      <c r="I1" s="36" t="s">
        <v>8</v>
      </c>
      <c r="J1" s="37" t="s">
        <v>7</v>
      </c>
      <c r="K1" s="36" t="s">
        <v>6</v>
      </c>
      <c r="L1" s="36" t="s">
        <v>5</v>
      </c>
      <c r="M1" s="36" t="s">
        <v>4</v>
      </c>
      <c r="N1" s="37" t="s">
        <v>29</v>
      </c>
      <c r="O1" s="56" t="s">
        <v>9</v>
      </c>
      <c r="P1" s="36" t="s">
        <v>8</v>
      </c>
      <c r="Q1" s="37" t="s">
        <v>7</v>
      </c>
      <c r="R1" s="36" t="s">
        <v>6</v>
      </c>
      <c r="S1" s="36" t="s">
        <v>5</v>
      </c>
      <c r="T1" s="36" t="s">
        <v>4</v>
      </c>
      <c r="U1" s="37" t="s">
        <v>29</v>
      </c>
      <c r="V1" s="56" t="s">
        <v>9</v>
      </c>
      <c r="W1" s="36" t="s">
        <v>8</v>
      </c>
      <c r="X1" s="37" t="s">
        <v>7</v>
      </c>
      <c r="Y1" s="36" t="s">
        <v>6</v>
      </c>
      <c r="Z1" s="36" t="s">
        <v>5</v>
      </c>
      <c r="AA1" s="36" t="s">
        <v>4</v>
      </c>
      <c r="AB1" s="37" t="s">
        <v>29</v>
      </c>
      <c r="AC1" s="56" t="s">
        <v>9</v>
      </c>
      <c r="AD1" s="36" t="s">
        <v>8</v>
      </c>
      <c r="AE1" s="37" t="s">
        <v>7</v>
      </c>
      <c r="AF1" s="36" t="s">
        <v>6</v>
      </c>
      <c r="AG1" s="36" t="s">
        <v>5</v>
      </c>
      <c r="AH1" s="36" t="s">
        <v>4</v>
      </c>
      <c r="AI1" s="86" t="s">
        <v>30</v>
      </c>
      <c r="AJ1" s="95" t="s">
        <v>31</v>
      </c>
      <c r="AK1" s="97" t="s">
        <v>10</v>
      </c>
    </row>
    <row r="2" spans="1:37" ht="18.95" customHeight="1" x14ac:dyDescent="0.3">
      <c r="A2" s="84"/>
      <c r="B2" s="84"/>
      <c r="C2" s="85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87"/>
      <c r="AJ2" s="96"/>
      <c r="AK2" s="98"/>
    </row>
    <row r="3" spans="1:37" ht="18.95" customHeight="1" x14ac:dyDescent="0.3">
      <c r="A3" s="99" t="s">
        <v>12</v>
      </c>
      <c r="B3" s="100"/>
      <c r="C3" s="58" t="s">
        <v>0</v>
      </c>
      <c r="D3" s="14"/>
      <c r="E3" s="15"/>
      <c r="F3" s="15"/>
      <c r="G3" s="15"/>
      <c r="H3" s="15"/>
      <c r="I3" s="18"/>
      <c r="J3" s="16"/>
      <c r="K3" s="15">
        <v>1793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>
        <v>1000</v>
      </c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3">
        <f>AJ3/31</f>
        <v>90.096774193548384</v>
      </c>
      <c r="AJ3" s="48">
        <f>SUM(D3:AH3)</f>
        <v>2793</v>
      </c>
      <c r="AK3" s="105">
        <v>100</v>
      </c>
    </row>
    <row r="4" spans="1:37" ht="18.95" customHeight="1" x14ac:dyDescent="0.3">
      <c r="A4" s="101"/>
      <c r="B4" s="102"/>
      <c r="C4" s="59" t="s">
        <v>13</v>
      </c>
      <c r="D4" s="18">
        <v>10</v>
      </c>
      <c r="E4" s="18">
        <v>20</v>
      </c>
      <c r="F4" s="18">
        <v>500</v>
      </c>
      <c r="G4" s="18">
        <v>21</v>
      </c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>
        <v>31</v>
      </c>
      <c r="T4" s="18"/>
      <c r="U4" s="18">
        <v>45</v>
      </c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>
        <v>15</v>
      </c>
      <c r="AI4" s="104"/>
      <c r="AJ4" s="48">
        <f>SUM(D4:AH4)</f>
        <v>642</v>
      </c>
      <c r="AK4" s="106"/>
    </row>
    <row r="5" spans="1:37" ht="18.95" customHeight="1" x14ac:dyDescent="0.3">
      <c r="A5" s="88" t="s">
        <v>14</v>
      </c>
      <c r="B5" s="91" t="s">
        <v>15</v>
      </c>
      <c r="C5" s="60" t="s">
        <v>16</v>
      </c>
      <c r="D5" s="21"/>
      <c r="E5" s="2"/>
      <c r="F5" s="2">
        <v>13</v>
      </c>
      <c r="G5" s="2"/>
      <c r="H5" s="2">
        <v>15</v>
      </c>
      <c r="I5" s="2">
        <v>12</v>
      </c>
      <c r="J5" s="22"/>
      <c r="K5" s="2">
        <v>18</v>
      </c>
      <c r="L5" s="2">
        <v>9</v>
      </c>
      <c r="M5" s="2">
        <v>10</v>
      </c>
      <c r="N5" s="2">
        <v>67</v>
      </c>
      <c r="O5" s="2">
        <v>27</v>
      </c>
      <c r="P5" s="2">
        <v>11</v>
      </c>
      <c r="Q5" s="2"/>
      <c r="R5" s="2">
        <v>26</v>
      </c>
      <c r="S5" s="2">
        <v>23</v>
      </c>
      <c r="T5" s="2">
        <v>6</v>
      </c>
      <c r="U5" s="2"/>
      <c r="V5" s="2">
        <v>12</v>
      </c>
      <c r="W5" s="2">
        <v>17</v>
      </c>
      <c r="X5" s="2">
        <v>28</v>
      </c>
      <c r="Y5" s="2">
        <v>47</v>
      </c>
      <c r="Z5" s="2"/>
      <c r="AA5" s="2"/>
      <c r="AB5" s="2"/>
      <c r="AC5" s="21">
        <v>76</v>
      </c>
      <c r="AD5" s="2">
        <v>54</v>
      </c>
      <c r="AE5" s="23">
        <v>23</v>
      </c>
      <c r="AF5" s="2">
        <v>35</v>
      </c>
      <c r="AG5" s="23">
        <v>18</v>
      </c>
      <c r="AH5" s="2"/>
      <c r="AI5" s="43">
        <f t="shared" ref="AI5:AI16" si="0">AJ5/31</f>
        <v>17.64516129032258</v>
      </c>
      <c r="AJ5" s="32">
        <f>SUM(D5,E5,F5,G5,H5,I5,J5,K5,L5,M5,N5,O5,P5,Q5,R5,S5,T5,U5,V5,W5,X5,Y5,Z5,AA5,AB5,AC5,AD5,AE5,AF5,AG5,AH5)</f>
        <v>547</v>
      </c>
      <c r="AK5" s="3">
        <f>(AJ5/(AJ3+AJ4))*100</f>
        <v>15.924308588064045</v>
      </c>
    </row>
    <row r="6" spans="1:37" ht="18.95" customHeight="1" x14ac:dyDescent="0.3">
      <c r="A6" s="89"/>
      <c r="B6" s="91"/>
      <c r="C6" s="61" t="s">
        <v>17</v>
      </c>
      <c r="D6" s="4"/>
      <c r="E6" s="4"/>
      <c r="F6" s="4"/>
      <c r="G6" s="4">
        <v>20</v>
      </c>
      <c r="H6" s="4">
        <v>6</v>
      </c>
      <c r="I6" s="4">
        <v>12</v>
      </c>
      <c r="J6" s="24">
        <v>12</v>
      </c>
      <c r="K6" s="4">
        <v>24</v>
      </c>
      <c r="L6" s="4"/>
      <c r="M6" s="4">
        <v>3</v>
      </c>
      <c r="N6" s="4">
        <v>9</v>
      </c>
      <c r="O6" s="4">
        <v>21</v>
      </c>
      <c r="P6" s="4">
        <v>6</v>
      </c>
      <c r="Q6" s="4">
        <v>9</v>
      </c>
      <c r="R6" s="4">
        <v>22</v>
      </c>
      <c r="S6" s="4">
        <v>26</v>
      </c>
      <c r="T6" s="4"/>
      <c r="U6" s="4">
        <v>7</v>
      </c>
      <c r="V6" s="4">
        <v>13</v>
      </c>
      <c r="W6" s="4">
        <v>12</v>
      </c>
      <c r="X6" s="4">
        <v>6</v>
      </c>
      <c r="Y6" s="4">
        <v>9</v>
      </c>
      <c r="Z6" s="4"/>
      <c r="AA6" s="4"/>
      <c r="AB6" s="4"/>
      <c r="AC6" s="25">
        <v>22</v>
      </c>
      <c r="AD6" s="4"/>
      <c r="AE6" s="24">
        <v>13</v>
      </c>
      <c r="AF6" s="4">
        <v>15</v>
      </c>
      <c r="AG6" s="24">
        <v>33</v>
      </c>
      <c r="AH6" s="4"/>
      <c r="AI6" s="44">
        <f t="shared" si="0"/>
        <v>9.67741935483871</v>
      </c>
      <c r="AJ6" s="33">
        <f>SUM(D6,E6,F6,G6,H6,I6,J6,K6,L6,M6,N6,O6,P6,Q6,R6,S6,T6,U6,V6,W6,X6,Y6,Z6,AA6,AB6,AC6,AD6,AE6,AF6,AG6,AH6)</f>
        <v>300</v>
      </c>
      <c r="AK6" s="5">
        <f>(AJ6/(AJ3+AJ4))*100</f>
        <v>8.7336244541484707</v>
      </c>
    </row>
    <row r="7" spans="1:37" ht="18.95" customHeight="1" x14ac:dyDescent="0.3">
      <c r="A7" s="89"/>
      <c r="B7" s="91"/>
      <c r="C7" s="61" t="s">
        <v>18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>
        <v>19</v>
      </c>
      <c r="S7" s="4"/>
      <c r="T7" s="4"/>
      <c r="U7" s="4"/>
      <c r="V7" s="4"/>
      <c r="W7" s="4"/>
      <c r="X7" s="4">
        <v>97</v>
      </c>
      <c r="Y7" s="4"/>
      <c r="Z7" s="4"/>
      <c r="AA7" s="4"/>
      <c r="AB7" s="4"/>
      <c r="AC7" s="25"/>
      <c r="AD7" s="4"/>
      <c r="AE7" s="24">
        <v>14</v>
      </c>
      <c r="AF7" s="4"/>
      <c r="AG7" s="24"/>
      <c r="AH7" s="4"/>
      <c r="AI7" s="44">
        <f t="shared" si="0"/>
        <v>4.193548387096774</v>
      </c>
      <c r="AJ7" s="33">
        <f>SUM(D7,E7,F7,G7,H7,I7,J7,K7,L7,M7,N7,O7,P7,Q7,R7,S7,T7,U7,V7,W7,X7,Y7,Z7,AA7,AB7,AC7,AD7,AE7,AF7,AG7,AH7)</f>
        <v>130</v>
      </c>
      <c r="AK7" s="5">
        <f>(AJ7/(AJ3+AJ4))*100</f>
        <v>3.7845705967976713</v>
      </c>
    </row>
    <row r="8" spans="1:37" ht="18.95" customHeight="1" x14ac:dyDescent="0.3">
      <c r="A8" s="89"/>
      <c r="B8" s="91"/>
      <c r="C8" s="62" t="s">
        <v>19</v>
      </c>
      <c r="D8" s="38"/>
      <c r="E8" s="39"/>
      <c r="F8" s="39"/>
      <c r="G8" s="39">
        <v>47</v>
      </c>
      <c r="H8" s="39"/>
      <c r="I8" s="39"/>
      <c r="J8" s="40">
        <v>20</v>
      </c>
      <c r="K8" s="39"/>
      <c r="L8" s="39"/>
      <c r="M8" s="39"/>
      <c r="N8" s="39"/>
      <c r="O8" s="39">
        <v>11</v>
      </c>
      <c r="P8" s="39"/>
      <c r="Q8" s="39"/>
      <c r="R8" s="39"/>
      <c r="S8" s="39">
        <v>4</v>
      </c>
      <c r="T8" s="39"/>
      <c r="U8" s="39"/>
      <c r="V8" s="39"/>
      <c r="W8" s="39"/>
      <c r="X8" s="39">
        <v>2</v>
      </c>
      <c r="Y8" s="39">
        <v>86</v>
      </c>
      <c r="Z8" s="39"/>
      <c r="AA8" s="39"/>
      <c r="AB8" s="39"/>
      <c r="AC8" s="38"/>
      <c r="AD8" s="39"/>
      <c r="AE8" s="40"/>
      <c r="AF8" s="39"/>
      <c r="AG8" s="40"/>
      <c r="AH8" s="39"/>
      <c r="AI8" s="47">
        <f t="shared" si="0"/>
        <v>5.4838709677419351</v>
      </c>
      <c r="AJ8" s="41">
        <f>SUM(D8,E8,F8,G8,H8,I8,J8,K8,L8,M8,N8,O8,P8,Q8,R8,S8,T8,U8,V8,W8,X8,Y8,Z8,AA8,AB8,AC8,AD8,AE8,AF8,AG8,AH8)</f>
        <v>170</v>
      </c>
      <c r="AK8" s="42">
        <f>(AJ8/(AJ3+AJ4))*100</f>
        <v>4.9490538573508003</v>
      </c>
    </row>
    <row r="9" spans="1:37" ht="18.95" customHeight="1" x14ac:dyDescent="0.3">
      <c r="A9" s="89"/>
      <c r="B9" s="91"/>
      <c r="C9" s="60" t="s">
        <v>1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>
        <v>500</v>
      </c>
      <c r="P9" s="2"/>
      <c r="Q9" s="2">
        <v>234</v>
      </c>
      <c r="R9" s="2"/>
      <c r="S9" s="2"/>
      <c r="T9" s="2"/>
      <c r="U9" s="2"/>
      <c r="V9" s="2"/>
      <c r="W9" s="2"/>
      <c r="X9" s="2">
        <v>100</v>
      </c>
      <c r="Y9" s="2"/>
      <c r="Z9" s="2"/>
      <c r="AA9" s="2"/>
      <c r="AB9" s="2"/>
      <c r="AC9" s="21"/>
      <c r="AD9" s="2"/>
      <c r="AE9" s="23"/>
      <c r="AF9" s="2"/>
      <c r="AG9" s="23"/>
      <c r="AH9" s="2"/>
      <c r="AI9" s="43">
        <f t="shared" si="0"/>
        <v>26.903225806451612</v>
      </c>
      <c r="AJ9" s="32">
        <f>SUM(D9,E9,F9,G9,H9,I9,J9,K9,L9,M9,N9,O9,P9,Q9,R9,S9,T9,U9,V9,W9,X9,Y9,Z9,AA9,AB9,AC9,AD9,AE9,AF9,AG9,AH9)</f>
        <v>834</v>
      </c>
      <c r="AK9" s="3">
        <f>(AJ9/(AJ3+AJ4))*100</f>
        <v>24.279475982532752</v>
      </c>
    </row>
    <row r="10" spans="1:37" ht="18.95" customHeight="1" x14ac:dyDescent="0.3">
      <c r="A10" s="89"/>
      <c r="B10" s="91"/>
      <c r="C10" s="61" t="s">
        <v>20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9"/>
      <c r="B11" s="91"/>
      <c r="C11" s="61" t="s">
        <v>21</v>
      </c>
      <c r="D11" s="21"/>
      <c r="E11" s="2"/>
      <c r="F11" s="2">
        <v>385</v>
      </c>
      <c r="G11" s="2">
        <v>4</v>
      </c>
      <c r="H11" s="2"/>
      <c r="I11" s="2"/>
      <c r="J11" s="22"/>
      <c r="K11" s="2"/>
      <c r="L11" s="2"/>
      <c r="M11" s="2"/>
      <c r="N11" s="2"/>
      <c r="O11" s="2"/>
      <c r="P11" s="2">
        <v>247</v>
      </c>
      <c r="Q11" s="2"/>
      <c r="R11" s="2"/>
      <c r="S11" s="2">
        <v>25</v>
      </c>
      <c r="T11" s="2"/>
      <c r="U11" s="2"/>
      <c r="V11" s="2"/>
      <c r="W11" s="2"/>
      <c r="X11" s="2"/>
      <c r="Y11" s="2"/>
      <c r="Z11" s="2"/>
      <c r="AA11" s="2">
        <v>250</v>
      </c>
      <c r="AB11" s="2">
        <v>2</v>
      </c>
      <c r="AC11" s="21"/>
      <c r="AD11" s="2"/>
      <c r="AE11" s="23"/>
      <c r="AF11" s="2">
        <v>2</v>
      </c>
      <c r="AG11" s="23"/>
      <c r="AH11" s="2"/>
      <c r="AI11" s="43">
        <f t="shared" si="0"/>
        <v>29.516129032258064</v>
      </c>
      <c r="AJ11" s="32">
        <f>SUM(D11,E11,F11,G11,H11,I11,J11,K11,L11,M11,N11,O11,P11,Q11,R11,S11,T11,U11,V11,W11,X11,Y11,Z11,AA11,AB11,AC11,AD11,AE11,AF11,AG11,AH11)</f>
        <v>915</v>
      </c>
      <c r="AK11" s="3">
        <f>(AJ11/(AJ3+AJ4))*100</f>
        <v>26.637554585152838</v>
      </c>
    </row>
    <row r="12" spans="1:37" ht="18.95" customHeight="1" x14ac:dyDescent="0.3">
      <c r="A12" s="89"/>
      <c r="B12" s="92" t="s">
        <v>22</v>
      </c>
      <c r="C12" s="63" t="s">
        <v>2</v>
      </c>
      <c r="D12" s="6">
        <v>18</v>
      </c>
      <c r="E12" s="6">
        <v>25</v>
      </c>
      <c r="F12" s="6">
        <v>24</v>
      </c>
      <c r="G12" s="6"/>
      <c r="H12" s="6"/>
      <c r="I12" s="6"/>
      <c r="J12" s="26"/>
      <c r="K12" s="6"/>
      <c r="L12" s="6">
        <v>35</v>
      </c>
      <c r="M12" s="6"/>
      <c r="N12" s="6">
        <v>20</v>
      </c>
      <c r="O12" s="6"/>
      <c r="P12" s="6"/>
      <c r="Q12" s="6"/>
      <c r="R12" s="6"/>
      <c r="S12" s="6">
        <v>24</v>
      </c>
      <c r="T12" s="6">
        <v>33</v>
      </c>
      <c r="U12" s="6"/>
      <c r="V12" s="6"/>
      <c r="W12" s="6">
        <v>20</v>
      </c>
      <c r="X12" s="6"/>
      <c r="Y12" s="6">
        <v>15</v>
      </c>
      <c r="Z12" s="6"/>
      <c r="AA12" s="6"/>
      <c r="AB12" s="6"/>
      <c r="AC12" s="27"/>
      <c r="AD12" s="6"/>
      <c r="AE12" s="26">
        <v>15</v>
      </c>
      <c r="AF12" s="6"/>
      <c r="AG12" s="26">
        <v>29</v>
      </c>
      <c r="AH12" s="6">
        <v>5</v>
      </c>
      <c r="AI12" s="45">
        <f t="shared" si="0"/>
        <v>8.4838709677419359</v>
      </c>
      <c r="AJ12" s="34">
        <f>SUM(D12,E12,F12,G12,H12,I12,J12,K12,L12,M12,N12,O12,P12,Q12,R12,S12,T12,U12,V12,W12,X12,Y12,Z12,AA12,AB12,AC12,AD12,AE12,AF12,AG12,AH12)</f>
        <v>263</v>
      </c>
      <c r="AK12" s="7">
        <f>(AJ12/(AJ3+AJ4))*100</f>
        <v>7.656477438136827</v>
      </c>
    </row>
    <row r="13" spans="1:37" ht="18.95" customHeight="1" x14ac:dyDescent="0.3">
      <c r="A13" s="89"/>
      <c r="B13" s="93"/>
      <c r="C13" s="63" t="s">
        <v>32</v>
      </c>
      <c r="D13" s="28">
        <v>18</v>
      </c>
      <c r="E13" s="8">
        <v>20</v>
      </c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1.2258064516129032</v>
      </c>
      <c r="AJ13" s="35">
        <f t="shared" si="1"/>
        <v>38</v>
      </c>
      <c r="AK13" s="9">
        <f>(AJ13/(AJ3+AJ4))*100</f>
        <v>1.1062590975254729</v>
      </c>
    </row>
    <row r="14" spans="1:37" ht="18.95" customHeight="1" x14ac:dyDescent="0.3">
      <c r="A14" s="89"/>
      <c r="B14" s="93"/>
      <c r="C14" s="57" t="s">
        <v>23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/>
      <c r="O14" s="6"/>
      <c r="P14" s="6"/>
      <c r="Q14" s="6"/>
      <c r="R14" s="6">
        <v>19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0.61290322580645162</v>
      </c>
      <c r="AJ14" s="34">
        <f t="shared" si="1"/>
        <v>19</v>
      </c>
      <c r="AK14" s="7">
        <f>(AJ14/(AJ3+AJ4))*100</f>
        <v>0.55312954876273646</v>
      </c>
    </row>
    <row r="15" spans="1:37" ht="18.95" customHeight="1" x14ac:dyDescent="0.3">
      <c r="A15" s="89"/>
      <c r="B15" s="94"/>
      <c r="C15" s="63" t="s">
        <v>24</v>
      </c>
      <c r="D15" s="51">
        <v>50</v>
      </c>
      <c r="E15" s="51"/>
      <c r="F15" s="51"/>
      <c r="G15" s="51"/>
      <c r="H15" s="51"/>
      <c r="I15" s="51"/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2"/>
      <c r="AD15" s="51"/>
      <c r="AE15" s="50"/>
      <c r="AF15" s="51"/>
      <c r="AG15" s="50"/>
      <c r="AH15" s="51"/>
      <c r="AI15" s="45">
        <f t="shared" si="0"/>
        <v>1.6129032258064515</v>
      </c>
      <c r="AJ15" s="34">
        <f>SUM(D15,E15,F15,G15,H15,I15,J15,K15,L15,M15,N15,O15,P15,Q15,R15,S15,T15,U15,V15,W15,X15,Y15,Z15,AA15,AB15,AC15,AD15,AE15,AF15,AG15,AH15)</f>
        <v>50</v>
      </c>
      <c r="AK15" s="7">
        <f>(AJ15/(AJ3+AJ4))*100</f>
        <v>1.4556040756914119</v>
      </c>
    </row>
    <row r="16" spans="1:37" ht="18.399999999999999" customHeight="1" x14ac:dyDescent="0.3">
      <c r="A16" s="90"/>
      <c r="B16" s="79" t="s">
        <v>25</v>
      </c>
      <c r="C16" s="80"/>
      <c r="D16" s="79">
        <f>SUM(D5:G15)+196</f>
        <v>820</v>
      </c>
      <c r="E16" s="80"/>
      <c r="F16" s="80"/>
      <c r="G16" s="81"/>
      <c r="H16" s="79">
        <f>SUM(H5:N15)</f>
        <v>272</v>
      </c>
      <c r="I16" s="80"/>
      <c r="J16" s="80"/>
      <c r="K16" s="80"/>
      <c r="L16" s="80"/>
      <c r="M16" s="80"/>
      <c r="N16" s="81"/>
      <c r="O16" s="79">
        <f>SUM(O5:U15)</f>
        <v>1300</v>
      </c>
      <c r="P16" s="80"/>
      <c r="Q16" s="80"/>
      <c r="R16" s="80"/>
      <c r="S16" s="80"/>
      <c r="T16" s="80"/>
      <c r="U16" s="81"/>
      <c r="V16" s="79">
        <f>SUM(V5:AB15)</f>
        <v>716</v>
      </c>
      <c r="W16" s="80"/>
      <c r="X16" s="80"/>
      <c r="Y16" s="80"/>
      <c r="Z16" s="80"/>
      <c r="AA16" s="80"/>
      <c r="AB16" s="81"/>
      <c r="AC16" s="79">
        <f>SUM(AC5:AH15)</f>
        <v>354</v>
      </c>
      <c r="AD16" s="80"/>
      <c r="AE16" s="80"/>
      <c r="AF16" s="80"/>
      <c r="AG16" s="80"/>
      <c r="AH16" s="81"/>
      <c r="AI16" s="53">
        <f t="shared" si="0"/>
        <v>105.35483870967742</v>
      </c>
      <c r="AJ16" s="49">
        <f>SUM(AJ5,AJ6,AJ7,AJ8,AJ9,AJ10,AJ11,AJ12,AJ13,AJ14,AJ15)</f>
        <v>3266</v>
      </c>
      <c r="AK16" s="10">
        <f>SUM(AK5,AK6,AK7,AK8,AK9,AK10,AK11,AK12,AK13,AK14,AK15)</f>
        <v>95.080058224163025</v>
      </c>
    </row>
    <row r="17" spans="1:37" ht="18" customHeight="1" x14ac:dyDescent="0.3">
      <c r="A17" s="113" t="s">
        <v>26</v>
      </c>
      <c r="B17" s="113"/>
      <c r="C17" s="114"/>
      <c r="D17" s="115">
        <v>2144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7"/>
      <c r="AJ17" s="118"/>
      <c r="AK17" s="69"/>
    </row>
    <row r="18" spans="1:37" ht="18" customHeight="1" x14ac:dyDescent="0.3">
      <c r="A18" s="108" t="s">
        <v>27</v>
      </c>
      <c r="B18" s="108"/>
      <c r="C18" s="109"/>
      <c r="D18" s="119">
        <f>((AJ3+AJ4+D17)-AJ16)-D17</f>
        <v>169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8"/>
      <c r="AK18" s="31">
        <f>((AJ3+AJ4-AJ16)/(AJ3+AJ4))*100</f>
        <v>4.9199417758369721</v>
      </c>
    </row>
    <row r="19" spans="1:37" ht="18" customHeight="1" x14ac:dyDescent="0.3">
      <c r="A19" s="107" t="s">
        <v>28</v>
      </c>
      <c r="B19" s="108"/>
      <c r="C19" s="109"/>
      <c r="D19" s="110">
        <f>(AJ3+AJ4+D17)-AJ16</f>
        <v>2313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  <c r="AK19" s="54"/>
    </row>
    <row r="24" spans="1:37" x14ac:dyDescent="0.3">
      <c r="S24" s="1" t="s">
        <v>11</v>
      </c>
    </row>
  </sheetData>
  <mergeCells count="22">
    <mergeCell ref="A1:C2"/>
    <mergeCell ref="AI1:AI2"/>
    <mergeCell ref="AJ1:AJ2"/>
    <mergeCell ref="AK1:AK2"/>
    <mergeCell ref="A3:B4"/>
    <mergeCell ref="AI3:AI4"/>
    <mergeCell ref="AK3:AK4"/>
    <mergeCell ref="A19:C19"/>
    <mergeCell ref="D19:AJ19"/>
    <mergeCell ref="D16:G16"/>
    <mergeCell ref="H16:N16"/>
    <mergeCell ref="O16:U16"/>
    <mergeCell ref="V16:AB16"/>
    <mergeCell ref="AC16:AH16"/>
    <mergeCell ref="A17:C17"/>
    <mergeCell ref="D17:AJ17"/>
    <mergeCell ref="A18:C18"/>
    <mergeCell ref="D18:AJ18"/>
    <mergeCell ref="A5:A16"/>
    <mergeCell ref="B5:B11"/>
    <mergeCell ref="B12:B15"/>
    <mergeCell ref="B16:C1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4"/>
  <sheetViews>
    <sheetView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1406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2"/>
      <c r="B1" s="82"/>
      <c r="C1" s="83"/>
      <c r="D1" s="37" t="s">
        <v>29</v>
      </c>
      <c r="E1" s="56" t="s">
        <v>9</v>
      </c>
      <c r="F1" s="36" t="s">
        <v>8</v>
      </c>
      <c r="G1" s="37" t="s">
        <v>7</v>
      </c>
      <c r="H1" s="36" t="s">
        <v>6</v>
      </c>
      <c r="I1" s="36" t="s">
        <v>5</v>
      </c>
      <c r="J1" s="36" t="s">
        <v>4</v>
      </c>
      <c r="K1" s="37" t="s">
        <v>29</v>
      </c>
      <c r="L1" s="56" t="s">
        <v>9</v>
      </c>
      <c r="M1" s="36" t="s">
        <v>8</v>
      </c>
      <c r="N1" s="37" t="s">
        <v>7</v>
      </c>
      <c r="O1" s="36" t="s">
        <v>6</v>
      </c>
      <c r="P1" s="36" t="s">
        <v>5</v>
      </c>
      <c r="Q1" s="36" t="s">
        <v>4</v>
      </c>
      <c r="R1" s="37" t="s">
        <v>29</v>
      </c>
      <c r="S1" s="56" t="s">
        <v>9</v>
      </c>
      <c r="T1" s="36" t="s">
        <v>8</v>
      </c>
      <c r="U1" s="37" t="s">
        <v>7</v>
      </c>
      <c r="V1" s="36" t="s">
        <v>6</v>
      </c>
      <c r="W1" s="36" t="s">
        <v>5</v>
      </c>
      <c r="X1" s="36" t="s">
        <v>4</v>
      </c>
      <c r="Y1" s="37" t="s">
        <v>29</v>
      </c>
      <c r="Z1" s="56" t="s">
        <v>9</v>
      </c>
      <c r="AA1" s="36" t="s">
        <v>8</v>
      </c>
      <c r="AB1" s="37" t="s">
        <v>7</v>
      </c>
      <c r="AC1" s="36" t="s">
        <v>6</v>
      </c>
      <c r="AD1" s="36" t="s">
        <v>5</v>
      </c>
      <c r="AE1" s="36" t="s">
        <v>4</v>
      </c>
      <c r="AF1" s="37" t="s">
        <v>29</v>
      </c>
      <c r="AG1" s="56" t="s">
        <v>9</v>
      </c>
      <c r="AH1" s="36"/>
      <c r="AI1" s="86" t="s">
        <v>30</v>
      </c>
      <c r="AJ1" s="95" t="s">
        <v>31</v>
      </c>
      <c r="AK1" s="97" t="s">
        <v>10</v>
      </c>
    </row>
    <row r="2" spans="1:37" ht="18.95" customHeight="1" x14ac:dyDescent="0.3">
      <c r="A2" s="84"/>
      <c r="B2" s="84"/>
      <c r="C2" s="85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87"/>
      <c r="AJ2" s="96"/>
      <c r="AK2" s="98"/>
    </row>
    <row r="3" spans="1:37" ht="18.95" customHeight="1" x14ac:dyDescent="0.3">
      <c r="A3" s="99" t="s">
        <v>12</v>
      </c>
      <c r="B3" s="100"/>
      <c r="C3" s="58" t="s">
        <v>0</v>
      </c>
      <c r="D3" s="14"/>
      <c r="E3" s="15"/>
      <c r="F3" s="15"/>
      <c r="G3" s="15"/>
      <c r="H3" s="15"/>
      <c r="I3" s="18">
        <v>1600</v>
      </c>
      <c r="J3" s="16"/>
      <c r="K3" s="15"/>
      <c r="L3" s="15"/>
      <c r="M3" s="15"/>
      <c r="N3" s="15"/>
      <c r="O3" s="15"/>
      <c r="P3" s="15">
        <v>1700</v>
      </c>
      <c r="Q3" s="15"/>
      <c r="R3" s="15"/>
      <c r="S3" s="15"/>
      <c r="T3" s="15"/>
      <c r="U3" s="15">
        <v>1120</v>
      </c>
      <c r="V3" s="15"/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3">
        <f>AJ3/30</f>
        <v>147.33333333333334</v>
      </c>
      <c r="AJ3" s="48">
        <f>SUM(D3:AH3)</f>
        <v>4420</v>
      </c>
      <c r="AK3" s="105">
        <v>100</v>
      </c>
    </row>
    <row r="4" spans="1:37" ht="18.95" customHeight="1" x14ac:dyDescent="0.3">
      <c r="A4" s="101"/>
      <c r="B4" s="102"/>
      <c r="C4" s="59" t="s">
        <v>13</v>
      </c>
      <c r="D4" s="18">
        <v>30</v>
      </c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>
        <v>50</v>
      </c>
      <c r="S4" s="18">
        <v>7</v>
      </c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104"/>
      <c r="AJ4" s="48">
        <f>SUM(D4:AH4)</f>
        <v>87</v>
      </c>
      <c r="AK4" s="106"/>
    </row>
    <row r="5" spans="1:37" ht="18.95" customHeight="1" x14ac:dyDescent="0.3">
      <c r="A5" s="88" t="s">
        <v>14</v>
      </c>
      <c r="B5" s="91" t="s">
        <v>15</v>
      </c>
      <c r="C5" s="60" t="s">
        <v>16</v>
      </c>
      <c r="D5" s="21"/>
      <c r="E5" s="2">
        <v>3</v>
      </c>
      <c r="F5" s="2">
        <v>36</v>
      </c>
      <c r="G5" s="2">
        <v>13</v>
      </c>
      <c r="H5" s="2">
        <v>9</v>
      </c>
      <c r="I5" s="2">
        <v>13</v>
      </c>
      <c r="J5" s="22">
        <v>25</v>
      </c>
      <c r="K5" s="2">
        <v>25</v>
      </c>
      <c r="L5" s="2">
        <v>8</v>
      </c>
      <c r="M5" s="2">
        <v>11</v>
      </c>
      <c r="N5" s="2">
        <v>23</v>
      </c>
      <c r="O5" s="2">
        <v>30</v>
      </c>
      <c r="P5" s="2"/>
      <c r="Q5" s="2"/>
      <c r="R5" s="2">
        <v>30</v>
      </c>
      <c r="S5" s="2">
        <v>9</v>
      </c>
      <c r="T5" s="2">
        <v>12</v>
      </c>
      <c r="U5" s="2">
        <v>40</v>
      </c>
      <c r="V5" s="2">
        <v>8</v>
      </c>
      <c r="W5" s="2"/>
      <c r="X5" s="2">
        <v>24</v>
      </c>
      <c r="Y5" s="2">
        <v>47</v>
      </c>
      <c r="Z5" s="2">
        <v>52</v>
      </c>
      <c r="AA5" s="2">
        <v>2</v>
      </c>
      <c r="AB5" s="2">
        <v>25</v>
      </c>
      <c r="AC5" s="21">
        <v>16</v>
      </c>
      <c r="AD5" s="2">
        <v>41</v>
      </c>
      <c r="AE5" s="23">
        <v>14</v>
      </c>
      <c r="AF5" s="2">
        <v>9</v>
      </c>
      <c r="AG5" s="23">
        <v>7</v>
      </c>
      <c r="AH5" s="2"/>
      <c r="AI5" s="43">
        <f t="shared" ref="AI5:AI16" si="0">AJ5/30</f>
        <v>17.733333333333334</v>
      </c>
      <c r="AJ5" s="32">
        <f>SUM(D5,E5,F5,G5,H5,I5,J5,K5,L5,M5,N5,O5,P5,Q5,R5,S5,T5,U5,V5,W5,X5,Y5,Z5,AA5,AB5,AC5,AD5,AE5,AF5,AG5,AH5)</f>
        <v>532</v>
      </c>
      <c r="AK5" s="3">
        <f>(AJ5/(AJ3+AJ4))*100</f>
        <v>11.803860661193699</v>
      </c>
    </row>
    <row r="6" spans="1:37" ht="18.95" customHeight="1" x14ac:dyDescent="0.3">
      <c r="A6" s="89"/>
      <c r="B6" s="91"/>
      <c r="C6" s="61" t="s">
        <v>17</v>
      </c>
      <c r="D6" s="4">
        <v>27</v>
      </c>
      <c r="E6" s="4">
        <v>13</v>
      </c>
      <c r="F6" s="4">
        <v>6</v>
      </c>
      <c r="G6" s="4">
        <v>6</v>
      </c>
      <c r="H6" s="4">
        <v>6</v>
      </c>
      <c r="I6" s="4"/>
      <c r="J6" s="24">
        <v>14</v>
      </c>
      <c r="K6" s="4"/>
      <c r="L6" s="4">
        <v>7</v>
      </c>
      <c r="M6" s="4">
        <v>12</v>
      </c>
      <c r="N6" s="4">
        <v>14</v>
      </c>
      <c r="O6" s="4">
        <v>6</v>
      </c>
      <c r="P6" s="4">
        <v>3</v>
      </c>
      <c r="Q6" s="4">
        <v>20</v>
      </c>
      <c r="R6" s="4"/>
      <c r="S6" s="4">
        <v>10</v>
      </c>
      <c r="T6" s="4">
        <v>6</v>
      </c>
      <c r="U6" s="4">
        <v>12</v>
      </c>
      <c r="V6" s="4">
        <v>41</v>
      </c>
      <c r="W6" s="4"/>
      <c r="X6" s="4"/>
      <c r="Y6" s="4"/>
      <c r="Z6" s="4">
        <v>10</v>
      </c>
      <c r="AA6" s="4">
        <v>12</v>
      </c>
      <c r="AB6" s="4">
        <v>6</v>
      </c>
      <c r="AC6" s="25">
        <v>6</v>
      </c>
      <c r="AD6" s="4"/>
      <c r="AE6" s="24"/>
      <c r="AF6" s="4"/>
      <c r="AG6" s="24">
        <v>7</v>
      </c>
      <c r="AH6" s="4"/>
      <c r="AI6" s="44">
        <f t="shared" si="0"/>
        <v>8.1333333333333329</v>
      </c>
      <c r="AJ6" s="33">
        <f>SUM(D6,E6,F6,G6,H6,I6,J6,K6,L6,M6,N6,O6,P6,Q6,R6,S6,T6,U6,V6,W6,X6,Y6,Z6,AA6,AB6,AC6,AD6,AE6,AF6,AG6,AH6)</f>
        <v>244</v>
      </c>
      <c r="AK6" s="5">
        <f>(AJ6/(AJ3+AJ4))*100</f>
        <v>5.4138007543820725</v>
      </c>
    </row>
    <row r="7" spans="1:37" ht="18.95" customHeight="1" x14ac:dyDescent="0.3">
      <c r="A7" s="89"/>
      <c r="B7" s="91"/>
      <c r="C7" s="61" t="s">
        <v>18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9"/>
      <c r="B8" s="91"/>
      <c r="C8" s="62" t="s">
        <v>19</v>
      </c>
      <c r="D8" s="38"/>
      <c r="E8" s="39"/>
      <c r="F8" s="39"/>
      <c r="G8" s="39"/>
      <c r="H8" s="39">
        <v>26</v>
      </c>
      <c r="I8" s="39"/>
      <c r="J8" s="40"/>
      <c r="K8" s="39"/>
      <c r="L8" s="39"/>
      <c r="M8" s="39">
        <v>5</v>
      </c>
      <c r="N8" s="39">
        <v>2</v>
      </c>
      <c r="O8" s="39"/>
      <c r="P8" s="39"/>
      <c r="Q8" s="39"/>
      <c r="R8" s="39"/>
      <c r="S8" s="39"/>
      <c r="T8" s="39">
        <v>7</v>
      </c>
      <c r="U8" s="39">
        <v>160</v>
      </c>
      <c r="V8" s="39"/>
      <c r="W8" s="39"/>
      <c r="X8" s="39"/>
      <c r="Y8" s="39"/>
      <c r="Z8" s="39"/>
      <c r="AA8" s="39"/>
      <c r="AB8" s="39"/>
      <c r="AC8" s="38">
        <v>24</v>
      </c>
      <c r="AD8" s="39"/>
      <c r="AE8" s="40"/>
      <c r="AF8" s="39">
        <v>9</v>
      </c>
      <c r="AG8" s="40"/>
      <c r="AH8" s="39"/>
      <c r="AI8" s="47">
        <f t="shared" si="0"/>
        <v>7.7666666666666666</v>
      </c>
      <c r="AJ8" s="41">
        <f>SUM(D8,E8,F8,G8,H8,I8,J8,K8,L8,M8,N8,O8,P8,Q8,R8,S8,T8,U8,V8,W8,X8,Y8,Z8,AA8,AB8,AC8,AD8,AE8,AF8,AG8,AH8)</f>
        <v>233</v>
      </c>
      <c r="AK8" s="42">
        <f>(AJ8/(AJ3+AJ4))*100</f>
        <v>5.1697359662746836</v>
      </c>
    </row>
    <row r="9" spans="1:37" ht="18.95" customHeight="1" x14ac:dyDescent="0.3">
      <c r="A9" s="89"/>
      <c r="B9" s="91"/>
      <c r="C9" s="60" t="s">
        <v>1</v>
      </c>
      <c r="D9" s="21"/>
      <c r="E9" s="2"/>
      <c r="F9" s="2"/>
      <c r="G9" s="2"/>
      <c r="H9" s="2"/>
      <c r="I9" s="2">
        <v>500</v>
      </c>
      <c r="J9" s="22"/>
      <c r="K9" s="2"/>
      <c r="L9" s="2"/>
      <c r="M9" s="2"/>
      <c r="N9" s="2"/>
      <c r="O9" s="2"/>
      <c r="P9" s="2">
        <v>218</v>
      </c>
      <c r="Q9" s="2"/>
      <c r="R9" s="2"/>
      <c r="S9" s="2"/>
      <c r="T9" s="2"/>
      <c r="U9" s="2"/>
      <c r="V9" s="2"/>
      <c r="W9" s="2"/>
      <c r="X9" s="2"/>
      <c r="Y9" s="2"/>
      <c r="Z9" s="2">
        <v>100</v>
      </c>
      <c r="AA9" s="2"/>
      <c r="AB9" s="2"/>
      <c r="AC9" s="21"/>
      <c r="AD9" s="2"/>
      <c r="AE9" s="23"/>
      <c r="AF9" s="2"/>
      <c r="AG9" s="23"/>
      <c r="AH9" s="2"/>
      <c r="AI9" s="43">
        <f t="shared" si="0"/>
        <v>27.266666666666666</v>
      </c>
      <c r="AJ9" s="32">
        <f>SUM(D9,E9,F9,G9,H9,I9,J9,K9,L9,M9,N9,O9,P9,Q9,R9,S9,T9,U9,V9,W9,X9,Y9,Z9,AA9,AB9,AC9,AD9,AE9,AF9,AG9,AH9)</f>
        <v>818</v>
      </c>
      <c r="AK9" s="3">
        <f>(AJ9/(AJ3+AJ4))*100</f>
        <v>18.149545151985798</v>
      </c>
    </row>
    <row r="10" spans="1:37" ht="18.95" customHeight="1" x14ac:dyDescent="0.3">
      <c r="A10" s="89"/>
      <c r="B10" s="91"/>
      <c r="C10" s="61" t="s">
        <v>20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>
        <v>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0.16666666666666666</v>
      </c>
      <c r="AJ10" s="33">
        <f t="shared" ref="AJ10:AJ14" si="1">SUM(D10,E10,F10,G10,H10,I10,J10,K10,L10,M10,N10,O10,P10,Q10,R10,S10,T10,U10,V10,W10,X10,Y10,Z10,AA10,AB10,AC10,AD10,AE10,AF10,AG10,AH10)</f>
        <v>5</v>
      </c>
      <c r="AK10" s="5">
        <f>(AJ10/(AJ3+AJ4))*100</f>
        <v>0.11093854004881294</v>
      </c>
    </row>
    <row r="11" spans="1:37" ht="18.95" customHeight="1" x14ac:dyDescent="0.3">
      <c r="A11" s="89"/>
      <c r="B11" s="91"/>
      <c r="C11" s="61" t="s">
        <v>21</v>
      </c>
      <c r="D11" s="21"/>
      <c r="E11" s="2">
        <v>90</v>
      </c>
      <c r="F11" s="2">
        <v>2</v>
      </c>
      <c r="G11" s="2"/>
      <c r="H11" s="2"/>
      <c r="I11" s="2"/>
      <c r="J11" s="22"/>
      <c r="K11" s="2"/>
      <c r="L11" s="2"/>
      <c r="M11" s="2">
        <v>300</v>
      </c>
      <c r="N11" s="2"/>
      <c r="O11" s="2"/>
      <c r="P11" s="2"/>
      <c r="Q11" s="2">
        <v>119</v>
      </c>
      <c r="R11" s="2"/>
      <c r="S11" s="2"/>
      <c r="T11" s="2"/>
      <c r="U11" s="2">
        <v>6</v>
      </c>
      <c r="V11" s="2"/>
      <c r="W11" s="2"/>
      <c r="X11" s="2"/>
      <c r="Y11" s="2"/>
      <c r="Z11" s="2"/>
      <c r="AA11" s="2"/>
      <c r="AB11" s="2"/>
      <c r="AC11" s="21"/>
      <c r="AD11" s="2">
        <v>8</v>
      </c>
      <c r="AE11" s="23"/>
      <c r="AF11" s="2"/>
      <c r="AG11" s="23"/>
      <c r="AH11" s="2"/>
      <c r="AI11" s="43">
        <f t="shared" si="0"/>
        <v>17.5</v>
      </c>
      <c r="AJ11" s="32">
        <f>SUM(D11,E11,F11,G11,H11,I11,J11,K11,L11,M11,N11,O11,P11,Q11,R11,S11,T11,U11,V11,W11,X11,Y11,Z11,AA11,AB11,AC11,AD11,AE11,AF11,AG11,AH11)</f>
        <v>525</v>
      </c>
      <c r="AK11" s="3">
        <f>(AJ11/(AJ3+AJ4))*100</f>
        <v>11.64854670512536</v>
      </c>
    </row>
    <row r="12" spans="1:37" ht="18.95" customHeight="1" x14ac:dyDescent="0.3">
      <c r="A12" s="89"/>
      <c r="B12" s="92" t="s">
        <v>22</v>
      </c>
      <c r="C12" s="63" t="s">
        <v>2</v>
      </c>
      <c r="D12" s="6"/>
      <c r="E12" s="6">
        <v>26</v>
      </c>
      <c r="F12" s="6"/>
      <c r="G12" s="6"/>
      <c r="H12" s="6"/>
      <c r="I12" s="6"/>
      <c r="J12" s="26">
        <v>76</v>
      </c>
      <c r="K12" s="6">
        <v>12</v>
      </c>
      <c r="L12" s="6"/>
      <c r="M12" s="6"/>
      <c r="N12" s="6"/>
      <c r="O12" s="6"/>
      <c r="P12" s="6">
        <v>31</v>
      </c>
      <c r="Q12" s="6">
        <v>27</v>
      </c>
      <c r="R12" s="6"/>
      <c r="S12" s="6"/>
      <c r="T12" s="6">
        <v>16</v>
      </c>
      <c r="U12" s="6"/>
      <c r="V12" s="6">
        <v>48</v>
      </c>
      <c r="W12" s="6"/>
      <c r="X12" s="6"/>
      <c r="Y12" s="6">
        <v>17</v>
      </c>
      <c r="Z12" s="6"/>
      <c r="AA12" s="6"/>
      <c r="AB12" s="6"/>
      <c r="AC12" s="27"/>
      <c r="AD12" s="6">
        <v>18</v>
      </c>
      <c r="AE12" s="26"/>
      <c r="AF12" s="6"/>
      <c r="AG12" s="26">
        <v>36</v>
      </c>
      <c r="AH12" s="6"/>
      <c r="AI12" s="45">
        <f t="shared" si="0"/>
        <v>10.233333333333333</v>
      </c>
      <c r="AJ12" s="34">
        <f>SUM(D12,E12,F12,G12,H12,I12,J12,K12,L12,M12,N12,O12,P12,Q12,R12,S12,T12,U12,V12,W12,X12,Y12,Z12,AA12,AB12,AC12,AD12,AE12,AF12,AG12,AH12)</f>
        <v>307</v>
      </c>
      <c r="AK12" s="7">
        <f>(AJ12/(AJ3+AJ4))*100</f>
        <v>6.8116263589971151</v>
      </c>
    </row>
    <row r="13" spans="1:37" ht="18.95" customHeight="1" x14ac:dyDescent="0.3">
      <c r="A13" s="89"/>
      <c r="B13" s="93"/>
      <c r="C13" s="63" t="s">
        <v>32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>
        <v>20</v>
      </c>
      <c r="Q13" s="8"/>
      <c r="R13" s="8"/>
      <c r="S13" s="8"/>
      <c r="T13" s="8"/>
      <c r="U13" s="8"/>
      <c r="V13" s="8">
        <v>10</v>
      </c>
      <c r="W13" s="8"/>
      <c r="X13" s="8"/>
      <c r="Y13" s="8">
        <v>7</v>
      </c>
      <c r="Z13" s="8"/>
      <c r="AA13" s="8"/>
      <c r="AB13" s="8"/>
      <c r="AC13" s="28"/>
      <c r="AD13" s="8"/>
      <c r="AE13" s="30"/>
      <c r="AF13" s="8"/>
      <c r="AG13" s="30">
        <v>30</v>
      </c>
      <c r="AH13" s="8"/>
      <c r="AI13" s="46">
        <f t="shared" si="0"/>
        <v>2.2333333333333334</v>
      </c>
      <c r="AJ13" s="35">
        <f t="shared" si="1"/>
        <v>67</v>
      </c>
      <c r="AK13" s="9">
        <f>(AJ13/(AJ3+AJ4))*100</f>
        <v>1.4865764366540937</v>
      </c>
    </row>
    <row r="14" spans="1:37" ht="18.95" customHeight="1" x14ac:dyDescent="0.3">
      <c r="A14" s="89"/>
      <c r="B14" s="93"/>
      <c r="C14" s="57" t="s">
        <v>23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0</v>
      </c>
      <c r="AJ14" s="34">
        <f t="shared" si="1"/>
        <v>0</v>
      </c>
      <c r="AK14" s="7">
        <f>(AJ14/(AJ3+AJ4))*100</f>
        <v>0</v>
      </c>
    </row>
    <row r="15" spans="1:37" ht="18.95" customHeight="1" x14ac:dyDescent="0.3">
      <c r="A15" s="89"/>
      <c r="B15" s="94"/>
      <c r="C15" s="63" t="s">
        <v>24</v>
      </c>
      <c r="D15" s="51"/>
      <c r="E15" s="51"/>
      <c r="F15" s="51"/>
      <c r="G15" s="51"/>
      <c r="H15" s="51"/>
      <c r="I15" s="51"/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2"/>
      <c r="AD15" s="51">
        <v>10</v>
      </c>
      <c r="AE15" s="50"/>
      <c r="AF15" s="51">
        <v>20</v>
      </c>
      <c r="AG15" s="50"/>
      <c r="AH15" s="51"/>
      <c r="AI15" s="45">
        <f t="shared" si="0"/>
        <v>1</v>
      </c>
      <c r="AJ15" s="34">
        <f>SUM(D15,E15,F15,G15,H15,I15,J15,K15,L15,M15,N15,O15,P15,Q15,R15,S15,T15,U15,V15,W15,X15,Y15,Z15,AA15,AB15,AC15,AD15,AE15,AF15,AG15,AH15)</f>
        <v>30</v>
      </c>
      <c r="AK15" s="7">
        <f>(AJ15/(AJ3+AJ4))*100</f>
        <v>0.66563124029287768</v>
      </c>
    </row>
    <row r="16" spans="1:37" ht="18.399999999999999" customHeight="1" x14ac:dyDescent="0.3">
      <c r="A16" s="90"/>
      <c r="B16" s="79" t="s">
        <v>25</v>
      </c>
      <c r="C16" s="80"/>
      <c r="D16" s="71"/>
      <c r="E16" s="79">
        <f>SUM(E5:K15)</f>
        <v>901</v>
      </c>
      <c r="F16" s="80"/>
      <c r="G16" s="80"/>
      <c r="H16" s="80"/>
      <c r="I16" s="80"/>
      <c r="J16" s="80"/>
      <c r="K16" s="81"/>
      <c r="L16" s="79">
        <f>SUM(L5:R15)</f>
        <v>891</v>
      </c>
      <c r="M16" s="80"/>
      <c r="N16" s="80"/>
      <c r="O16" s="80"/>
      <c r="P16" s="80"/>
      <c r="Q16" s="80"/>
      <c r="R16" s="81"/>
      <c r="S16" s="79">
        <f>SUM(S5:Y15)</f>
        <v>480</v>
      </c>
      <c r="T16" s="80"/>
      <c r="U16" s="80"/>
      <c r="V16" s="80"/>
      <c r="W16" s="80"/>
      <c r="X16" s="80"/>
      <c r="Y16" s="81"/>
      <c r="Z16" s="79">
        <f>SUM(Z5:AF15)</f>
        <v>382</v>
      </c>
      <c r="AA16" s="80"/>
      <c r="AB16" s="80"/>
      <c r="AC16" s="80"/>
      <c r="AD16" s="80"/>
      <c r="AE16" s="80"/>
      <c r="AF16" s="81"/>
      <c r="AG16" s="72"/>
      <c r="AH16" s="65"/>
      <c r="AI16" s="53">
        <f t="shared" si="0"/>
        <v>92.033333333333331</v>
      </c>
      <c r="AJ16" s="49">
        <f>SUM(AJ5,AJ6,AJ7,AJ8,AJ9,AJ10,AJ11,AJ12,AJ13,AJ14,AJ15)</f>
        <v>2761</v>
      </c>
      <c r="AK16" s="10">
        <f>SUM(AK5,AK6,AK7,AK8,AK9,AK10,AK11,AK12,AK13,AK14,AK15)</f>
        <v>61.260261814954511</v>
      </c>
    </row>
    <row r="17" spans="1:37" ht="18" customHeight="1" x14ac:dyDescent="0.3">
      <c r="A17" s="113" t="s">
        <v>26</v>
      </c>
      <c r="B17" s="113"/>
      <c r="C17" s="114"/>
      <c r="D17" s="115">
        <v>2313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7"/>
      <c r="AJ17" s="118"/>
      <c r="AK17" s="70"/>
    </row>
    <row r="18" spans="1:37" ht="18" customHeight="1" x14ac:dyDescent="0.3">
      <c r="A18" s="108" t="s">
        <v>27</v>
      </c>
      <c r="B18" s="108"/>
      <c r="C18" s="109"/>
      <c r="D18" s="119">
        <f>((AJ3+AJ4+D17)-AJ16)-D17</f>
        <v>1746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8"/>
      <c r="AK18" s="31">
        <f>((AJ3+AJ4-AJ16)/(AJ3+AJ4))*100</f>
        <v>38.739738185045489</v>
      </c>
    </row>
    <row r="19" spans="1:37" ht="18" customHeight="1" x14ac:dyDescent="0.3">
      <c r="A19" s="107" t="s">
        <v>28</v>
      </c>
      <c r="B19" s="108"/>
      <c r="C19" s="109"/>
      <c r="D19" s="110">
        <f>(AJ3+AJ4+D17)-AJ16</f>
        <v>4059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  <c r="AK19" s="54"/>
    </row>
    <row r="24" spans="1:37" x14ac:dyDescent="0.3">
      <c r="S24" s="1" t="s">
        <v>11</v>
      </c>
    </row>
  </sheetData>
  <mergeCells count="21">
    <mergeCell ref="A19:C19"/>
    <mergeCell ref="D19:AJ19"/>
    <mergeCell ref="E16:K16"/>
    <mergeCell ref="L16:R16"/>
    <mergeCell ref="S16:Y16"/>
    <mergeCell ref="Z16:AF16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4"/>
  <sheetViews>
    <sheetView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57031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2"/>
      <c r="B1" s="82"/>
      <c r="C1" s="83"/>
      <c r="D1" s="36" t="s">
        <v>8</v>
      </c>
      <c r="E1" s="37" t="s">
        <v>7</v>
      </c>
      <c r="F1" s="36" t="s">
        <v>6</v>
      </c>
      <c r="G1" s="36" t="s">
        <v>5</v>
      </c>
      <c r="H1" s="36" t="s">
        <v>4</v>
      </c>
      <c r="I1" s="37" t="s">
        <v>29</v>
      </c>
      <c r="J1" s="56" t="s">
        <v>9</v>
      </c>
      <c r="K1" s="36" t="s">
        <v>8</v>
      </c>
      <c r="L1" s="37" t="s">
        <v>7</v>
      </c>
      <c r="M1" s="36" t="s">
        <v>6</v>
      </c>
      <c r="N1" s="36" t="s">
        <v>5</v>
      </c>
      <c r="O1" s="36" t="s">
        <v>4</v>
      </c>
      <c r="P1" s="37" t="s">
        <v>29</v>
      </c>
      <c r="Q1" s="56" t="s">
        <v>9</v>
      </c>
      <c r="R1" s="36" t="s">
        <v>8</v>
      </c>
      <c r="S1" s="37" t="s">
        <v>7</v>
      </c>
      <c r="T1" s="36" t="s">
        <v>6</v>
      </c>
      <c r="U1" s="36" t="s">
        <v>5</v>
      </c>
      <c r="V1" s="36" t="s">
        <v>4</v>
      </c>
      <c r="W1" s="37" t="s">
        <v>29</v>
      </c>
      <c r="X1" s="56" t="s">
        <v>9</v>
      </c>
      <c r="Y1" s="36" t="s">
        <v>8</v>
      </c>
      <c r="Z1" s="37" t="s">
        <v>7</v>
      </c>
      <c r="AA1" s="36" t="s">
        <v>6</v>
      </c>
      <c r="AB1" s="36" t="s">
        <v>5</v>
      </c>
      <c r="AC1" s="36" t="s">
        <v>4</v>
      </c>
      <c r="AD1" s="37" t="s">
        <v>29</v>
      </c>
      <c r="AE1" s="56" t="s">
        <v>9</v>
      </c>
      <c r="AF1" s="36" t="s">
        <v>8</v>
      </c>
      <c r="AG1" s="37" t="s">
        <v>7</v>
      </c>
      <c r="AH1" s="36" t="s">
        <v>6</v>
      </c>
      <c r="AI1" s="86" t="s">
        <v>30</v>
      </c>
      <c r="AJ1" s="95" t="s">
        <v>31</v>
      </c>
      <c r="AK1" s="97" t="s">
        <v>10</v>
      </c>
    </row>
    <row r="2" spans="1:37" ht="18.95" customHeight="1" x14ac:dyDescent="0.3">
      <c r="A2" s="84"/>
      <c r="B2" s="84"/>
      <c r="C2" s="85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87"/>
      <c r="AJ2" s="96"/>
      <c r="AK2" s="98"/>
    </row>
    <row r="3" spans="1:37" ht="18.95" customHeight="1" x14ac:dyDescent="0.3">
      <c r="A3" s="99" t="s">
        <v>12</v>
      </c>
      <c r="B3" s="100"/>
      <c r="C3" s="58" t="s">
        <v>0</v>
      </c>
      <c r="D3" s="14"/>
      <c r="E3" s="15"/>
      <c r="F3" s="15"/>
      <c r="G3" s="15"/>
      <c r="H3" s="15"/>
      <c r="I3" s="18"/>
      <c r="J3" s="16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>
        <v>2442</v>
      </c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3">
        <f>AJ3/30</f>
        <v>81.400000000000006</v>
      </c>
      <c r="AJ3" s="48">
        <f>SUM(D3:AH3)</f>
        <v>2442</v>
      </c>
      <c r="AK3" s="105">
        <v>100</v>
      </c>
    </row>
    <row r="4" spans="1:37" ht="18.95" customHeight="1" x14ac:dyDescent="0.3">
      <c r="A4" s="101"/>
      <c r="B4" s="102"/>
      <c r="C4" s="59" t="s">
        <v>13</v>
      </c>
      <c r="D4" s="18"/>
      <c r="E4" s="18"/>
      <c r="F4" s="18">
        <v>20</v>
      </c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>
        <v>80</v>
      </c>
      <c r="AG4" s="19"/>
      <c r="AH4" s="18"/>
      <c r="AI4" s="104"/>
      <c r="AJ4" s="48">
        <f>SUM(D4:AH4)</f>
        <v>100</v>
      </c>
      <c r="AK4" s="106"/>
    </row>
    <row r="5" spans="1:37" ht="18.95" customHeight="1" x14ac:dyDescent="0.3">
      <c r="A5" s="88" t="s">
        <v>14</v>
      </c>
      <c r="B5" s="91" t="s">
        <v>15</v>
      </c>
      <c r="C5" s="60" t="s">
        <v>16</v>
      </c>
      <c r="D5" s="21">
        <v>7</v>
      </c>
      <c r="E5" s="2"/>
      <c r="F5" s="2">
        <v>5</v>
      </c>
      <c r="G5" s="2"/>
      <c r="H5" s="2">
        <v>25</v>
      </c>
      <c r="I5" s="2">
        <v>89</v>
      </c>
      <c r="J5" s="22">
        <v>40</v>
      </c>
      <c r="K5" s="2"/>
      <c r="L5" s="2">
        <v>82</v>
      </c>
      <c r="M5" s="2">
        <v>19</v>
      </c>
      <c r="N5" s="2">
        <v>23</v>
      </c>
      <c r="O5" s="2">
        <v>66</v>
      </c>
      <c r="P5" s="2">
        <v>35</v>
      </c>
      <c r="Q5" s="2">
        <v>43</v>
      </c>
      <c r="R5" s="2">
        <v>40</v>
      </c>
      <c r="S5" s="2">
        <v>90</v>
      </c>
      <c r="T5" s="2">
        <v>50</v>
      </c>
      <c r="U5" s="2">
        <v>50</v>
      </c>
      <c r="V5" s="2">
        <v>28</v>
      </c>
      <c r="W5" s="2">
        <v>58</v>
      </c>
      <c r="X5" s="2">
        <v>64</v>
      </c>
      <c r="Y5" s="2">
        <v>37</v>
      </c>
      <c r="Z5" s="2">
        <v>29</v>
      </c>
      <c r="AA5" s="2">
        <v>25</v>
      </c>
      <c r="AB5" s="2"/>
      <c r="AC5" s="21"/>
      <c r="AD5" s="2">
        <v>5</v>
      </c>
      <c r="AE5" s="23"/>
      <c r="AF5" s="2">
        <v>8</v>
      </c>
      <c r="AG5" s="23">
        <v>10</v>
      </c>
      <c r="AH5" s="2">
        <v>13</v>
      </c>
      <c r="AI5" s="43">
        <f t="shared" ref="AI5:AI16" si="0">AJ5/30</f>
        <v>31.366666666666667</v>
      </c>
      <c r="AJ5" s="32">
        <f>SUM(D5,E5,F5,G5,H5,I5,J5,K5,L5,M5,N5,O5,P5,Q5,R5,S5,T5,U5,V5,W5,X5,Y5,Z5,AA5,AB5,AC5,AD5,AE5,AF5,AG5,AH5)</f>
        <v>941</v>
      </c>
      <c r="AK5" s="3">
        <f>(AJ5/(AJ3+AJ4))*100</f>
        <v>37.018095987411485</v>
      </c>
    </row>
    <row r="6" spans="1:37" ht="18.95" customHeight="1" x14ac:dyDescent="0.3">
      <c r="A6" s="89"/>
      <c r="B6" s="91"/>
      <c r="C6" s="61" t="s">
        <v>17</v>
      </c>
      <c r="D6" s="4">
        <v>30</v>
      </c>
      <c r="E6" s="4"/>
      <c r="F6" s="4"/>
      <c r="G6" s="4"/>
      <c r="H6" s="4">
        <v>32</v>
      </c>
      <c r="I6" s="4">
        <v>6</v>
      </c>
      <c r="J6" s="24"/>
      <c r="K6" s="4">
        <v>6</v>
      </c>
      <c r="L6" s="4"/>
      <c r="M6" s="4">
        <v>12</v>
      </c>
      <c r="N6" s="4"/>
      <c r="O6" s="4"/>
      <c r="P6" s="4"/>
      <c r="Q6" s="4"/>
      <c r="R6" s="4"/>
      <c r="S6" s="4"/>
      <c r="T6" s="4"/>
      <c r="U6" s="4"/>
      <c r="V6" s="4"/>
      <c r="W6" s="4"/>
      <c r="X6" s="4">
        <v>12</v>
      </c>
      <c r="Y6" s="4"/>
      <c r="Z6" s="4">
        <v>29</v>
      </c>
      <c r="AA6" s="4">
        <v>30</v>
      </c>
      <c r="AB6" s="4"/>
      <c r="AC6" s="25"/>
      <c r="AD6" s="4"/>
      <c r="AE6" s="24"/>
      <c r="AF6" s="4">
        <v>14</v>
      </c>
      <c r="AG6" s="24"/>
      <c r="AH6" s="4">
        <v>10</v>
      </c>
      <c r="AI6" s="44">
        <f t="shared" si="0"/>
        <v>6.0333333333333332</v>
      </c>
      <c r="AJ6" s="33">
        <f>SUM(D6,E6,F6,G6,H6,I6,J6,K6,L6,M6,N6,O6,P6,Q6,R6,S6,T6,U6,V6,W6,X6,Y6,Z6,AA6,AB6,AC6,AD6,AE6,AF6,AG6,AH6)</f>
        <v>181</v>
      </c>
      <c r="AK6" s="5">
        <f>(AJ6/(AJ3+AJ4))*100</f>
        <v>7.1203776553894569</v>
      </c>
    </row>
    <row r="7" spans="1:37" ht="18.95" customHeight="1" x14ac:dyDescent="0.3">
      <c r="A7" s="89"/>
      <c r="B7" s="91"/>
      <c r="C7" s="61" t="s">
        <v>18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75</v>
      </c>
      <c r="Z7" s="4"/>
      <c r="AA7" s="4"/>
      <c r="AB7" s="4"/>
      <c r="AC7" s="25"/>
      <c r="AD7" s="4"/>
      <c r="AE7" s="24"/>
      <c r="AF7" s="4"/>
      <c r="AG7" s="24">
        <v>46</v>
      </c>
      <c r="AH7" s="4"/>
      <c r="AI7" s="44">
        <f t="shared" si="0"/>
        <v>4.0333333333333332</v>
      </c>
      <c r="AJ7" s="33">
        <f>SUM(D7,E7,F7,G7,H7,I7,J7,K7,L7,M7,N7,O7,P7,Q7,R7,S7,T7,U7,V7,W7,X7,Y7,Z7,AA7,AB7,AC7,AD7,AE7,AF7,AG7,AH7)</f>
        <v>121</v>
      </c>
      <c r="AK7" s="5">
        <f>(AJ7/(AJ3+AJ4))*100</f>
        <v>4.7600314712824545</v>
      </c>
    </row>
    <row r="8" spans="1:37" ht="18.95" customHeight="1" x14ac:dyDescent="0.3">
      <c r="A8" s="89"/>
      <c r="B8" s="91"/>
      <c r="C8" s="62" t="s">
        <v>19</v>
      </c>
      <c r="D8" s="38"/>
      <c r="E8" s="39"/>
      <c r="F8" s="39"/>
      <c r="G8" s="39"/>
      <c r="H8" s="39"/>
      <c r="I8" s="39"/>
      <c r="J8" s="40">
        <v>46</v>
      </c>
      <c r="K8" s="39"/>
      <c r="L8" s="39"/>
      <c r="M8" s="39"/>
      <c r="N8" s="39"/>
      <c r="O8" s="39">
        <v>5</v>
      </c>
      <c r="P8" s="39"/>
      <c r="Q8" s="39"/>
      <c r="R8" s="39"/>
      <c r="S8" s="39"/>
      <c r="T8" s="39"/>
      <c r="U8" s="39"/>
      <c r="V8" s="39"/>
      <c r="W8" s="39">
        <v>2</v>
      </c>
      <c r="X8" s="39">
        <v>3</v>
      </c>
      <c r="Y8" s="39"/>
      <c r="Z8" s="39">
        <v>24</v>
      </c>
      <c r="AA8" s="39"/>
      <c r="AB8" s="39"/>
      <c r="AC8" s="38"/>
      <c r="AD8" s="39"/>
      <c r="AE8" s="40"/>
      <c r="AF8" s="39"/>
      <c r="AG8" s="40"/>
      <c r="AH8" s="39">
        <v>28</v>
      </c>
      <c r="AI8" s="47">
        <f t="shared" si="0"/>
        <v>3.6</v>
      </c>
      <c r="AJ8" s="41">
        <f>SUM(D8,E8,F8,G8,H8,I8,J8,K8,L8,M8,N8,O8,P8,Q8,R8,S8,T8,U8,V8,W8,X8,Y8,Z8,AA8,AB8,AC8,AD8,AE8,AF8,AG8,AH8)</f>
        <v>108</v>
      </c>
      <c r="AK8" s="42">
        <f>(AJ8/(AJ3+AJ4))*100</f>
        <v>4.2486231313926046</v>
      </c>
    </row>
    <row r="9" spans="1:37" ht="18.95" customHeight="1" x14ac:dyDescent="0.3">
      <c r="A9" s="89"/>
      <c r="B9" s="91"/>
      <c r="C9" s="60" t="s">
        <v>1</v>
      </c>
      <c r="D9" s="21">
        <v>500</v>
      </c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>
        <v>220</v>
      </c>
      <c r="AB9" s="2"/>
      <c r="AC9" s="21"/>
      <c r="AD9" s="2"/>
      <c r="AE9" s="23"/>
      <c r="AF9" s="2"/>
      <c r="AG9" s="23"/>
      <c r="AH9" s="2"/>
      <c r="AI9" s="43">
        <f t="shared" si="0"/>
        <v>24</v>
      </c>
      <c r="AJ9" s="32">
        <f>SUM(D9,E9,F9,G9,H9,I9,J9,K9,L9,M9,N9,O9,P9,Q9,R9,S9,T9,U9,V9,W9,X9,Y9,Z9,AA9,AB9,AC9,AD9,AE9,AF9,AG9,AH9)</f>
        <v>720</v>
      </c>
      <c r="AK9" s="3">
        <f>(AJ9/(AJ3+AJ4))*100</f>
        <v>28.324154209284032</v>
      </c>
    </row>
    <row r="10" spans="1:37" ht="18.95" customHeight="1" x14ac:dyDescent="0.3">
      <c r="A10" s="89"/>
      <c r="B10" s="91"/>
      <c r="C10" s="61" t="s">
        <v>20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9"/>
      <c r="B11" s="91"/>
      <c r="C11" s="61" t="s">
        <v>21</v>
      </c>
      <c r="D11" s="21"/>
      <c r="E11" s="2"/>
      <c r="F11" s="2">
        <v>5</v>
      </c>
      <c r="G11" s="2"/>
      <c r="H11" s="2"/>
      <c r="I11" s="2"/>
      <c r="J11" s="22">
        <v>210</v>
      </c>
      <c r="K11" s="2"/>
      <c r="L11" s="2"/>
      <c r="M11" s="2"/>
      <c r="N11" s="2">
        <v>135</v>
      </c>
      <c r="O11" s="2">
        <v>70</v>
      </c>
      <c r="P11" s="2"/>
      <c r="Q11" s="2">
        <v>250</v>
      </c>
      <c r="R11" s="2"/>
      <c r="S11" s="2"/>
      <c r="T11" s="2">
        <v>100</v>
      </c>
      <c r="U11" s="2"/>
      <c r="V11" s="2"/>
      <c r="W11" s="2">
        <v>150</v>
      </c>
      <c r="X11" s="2"/>
      <c r="Y11" s="2"/>
      <c r="Z11" s="2"/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30.666666666666668</v>
      </c>
      <c r="AJ11" s="32">
        <f>SUM(D11,E11,F11,G11,H11,I11,J11,K11,L11,M11,N11,O11,P11,Q11,R11,S11,T11,U11,V11,W11,X11,Y11,Z11,AA11,AB11,AC11,AD11,AE11,AF11,AG11,AH11)</f>
        <v>920</v>
      </c>
      <c r="AK11" s="3">
        <f>(AJ11/(AJ3+AJ4))*100</f>
        <v>36.191974822974039</v>
      </c>
    </row>
    <row r="12" spans="1:37" ht="18.95" customHeight="1" x14ac:dyDescent="0.3">
      <c r="A12" s="89"/>
      <c r="B12" s="92" t="s">
        <v>22</v>
      </c>
      <c r="C12" s="63" t="s">
        <v>2</v>
      </c>
      <c r="D12" s="6">
        <v>150</v>
      </c>
      <c r="E12" s="6">
        <v>24</v>
      </c>
      <c r="F12" s="6">
        <v>33</v>
      </c>
      <c r="G12" s="6"/>
      <c r="H12" s="6"/>
      <c r="I12" s="6">
        <v>50</v>
      </c>
      <c r="J12" s="26">
        <v>46</v>
      </c>
      <c r="K12" s="6"/>
      <c r="L12" s="6"/>
      <c r="M12" s="6">
        <v>45</v>
      </c>
      <c r="N12" s="6"/>
      <c r="O12" s="6"/>
      <c r="P12" s="6">
        <v>51</v>
      </c>
      <c r="Q12" s="6">
        <v>13</v>
      </c>
      <c r="R12" s="6"/>
      <c r="S12" s="6">
        <v>20</v>
      </c>
      <c r="T12" s="6">
        <v>40</v>
      </c>
      <c r="U12" s="6">
        <v>40</v>
      </c>
      <c r="V12" s="6">
        <v>50</v>
      </c>
      <c r="W12" s="6">
        <v>31</v>
      </c>
      <c r="X12" s="6"/>
      <c r="Y12" s="6">
        <v>8</v>
      </c>
      <c r="Z12" s="6">
        <v>22</v>
      </c>
      <c r="AA12" s="6"/>
      <c r="AB12" s="6">
        <v>46</v>
      </c>
      <c r="AC12" s="27"/>
      <c r="AD12" s="6"/>
      <c r="AE12" s="26">
        <v>19</v>
      </c>
      <c r="AF12" s="6">
        <v>13</v>
      </c>
      <c r="AG12" s="26"/>
      <c r="AH12" s="6"/>
      <c r="AI12" s="45">
        <f t="shared" si="0"/>
        <v>23.366666666666667</v>
      </c>
      <c r="AJ12" s="34">
        <f>SUM(D12,E12,F12,G12,H12,I12,J12,K12,L12,M12,N12,O12,P12,Q12,R12,S12,T12,U12,V12,W12,X12,Y12,Z12,AA12,AB12,AC12,AD12,AE12,AF12,AG12,AH12)</f>
        <v>701</v>
      </c>
      <c r="AK12" s="7">
        <f>(AJ12/(AJ3+AJ4))*100</f>
        <v>27.576711250983475</v>
      </c>
    </row>
    <row r="13" spans="1:37" ht="18.95" customHeight="1" x14ac:dyDescent="0.3">
      <c r="A13" s="89"/>
      <c r="B13" s="93"/>
      <c r="C13" s="63" t="s">
        <v>32</v>
      </c>
      <c r="D13" s="28">
        <v>22</v>
      </c>
      <c r="E13" s="8">
        <v>14</v>
      </c>
      <c r="F13" s="8">
        <v>14</v>
      </c>
      <c r="G13" s="8"/>
      <c r="H13" s="8"/>
      <c r="I13" s="8"/>
      <c r="J13" s="29"/>
      <c r="K13" s="8"/>
      <c r="L13" s="8"/>
      <c r="M13" s="8"/>
      <c r="N13" s="8"/>
      <c r="O13" s="8"/>
      <c r="P13" s="8">
        <v>45</v>
      </c>
      <c r="Q13" s="8">
        <v>22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3.9</v>
      </c>
      <c r="AJ13" s="35">
        <f t="shared" si="1"/>
        <v>117</v>
      </c>
      <c r="AK13" s="9">
        <f>(AJ13/(AJ3+AJ4))*100</f>
        <v>4.6026750590086545</v>
      </c>
    </row>
    <row r="14" spans="1:37" ht="18.95" customHeight="1" x14ac:dyDescent="0.3">
      <c r="A14" s="89"/>
      <c r="B14" s="93"/>
      <c r="C14" s="57" t="s">
        <v>23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>
        <v>70</v>
      </c>
      <c r="O14" s="6"/>
      <c r="P14" s="6"/>
      <c r="Q14" s="6"/>
      <c r="R14" s="6"/>
      <c r="S14" s="6"/>
      <c r="T14" s="6">
        <v>151</v>
      </c>
      <c r="U14" s="6">
        <v>100</v>
      </c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10.7</v>
      </c>
      <c r="AJ14" s="34">
        <f t="shared" si="1"/>
        <v>321</v>
      </c>
      <c r="AK14" s="7">
        <f>(AJ14/(AJ3+AJ4))*100</f>
        <v>12.627852084972464</v>
      </c>
    </row>
    <row r="15" spans="1:37" ht="18.95" customHeight="1" x14ac:dyDescent="0.3">
      <c r="A15" s="89"/>
      <c r="B15" s="94"/>
      <c r="C15" s="63" t="s">
        <v>24</v>
      </c>
      <c r="D15" s="51"/>
      <c r="E15" s="51">
        <v>15</v>
      </c>
      <c r="F15" s="51"/>
      <c r="G15" s="51">
        <v>25</v>
      </c>
      <c r="H15" s="51"/>
      <c r="I15" s="51"/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>
        <v>30</v>
      </c>
      <c r="AB15" s="51">
        <v>40</v>
      </c>
      <c r="AC15" s="52">
        <v>110</v>
      </c>
      <c r="AD15" s="51">
        <v>30</v>
      </c>
      <c r="AE15" s="50"/>
      <c r="AF15" s="51"/>
      <c r="AG15" s="50"/>
      <c r="AH15" s="51"/>
      <c r="AI15" s="45">
        <f t="shared" si="0"/>
        <v>8.3333333333333339</v>
      </c>
      <c r="AJ15" s="34">
        <f>SUM(D15,E15,F15,G15,H15,I15,J15,K15,L15,M15,N15,O15,P15,Q15,R15,S15,T15,U15,V15,W15,X15,Y15,Z15,AA15,AB15,AC15,AD15,AE15,AF15,AG15,AH15)</f>
        <v>250</v>
      </c>
      <c r="AK15" s="7">
        <f>(AJ15/(AJ3+AJ4))*100</f>
        <v>9.8347757671125091</v>
      </c>
    </row>
    <row r="16" spans="1:37" ht="18.399999999999999" customHeight="1" x14ac:dyDescent="0.3">
      <c r="A16" s="90"/>
      <c r="B16" s="79" t="s">
        <v>25</v>
      </c>
      <c r="C16" s="80"/>
      <c r="D16" s="79">
        <f>SUM(D5:I15)+80</f>
        <v>1126</v>
      </c>
      <c r="E16" s="80"/>
      <c r="F16" s="80"/>
      <c r="G16" s="80"/>
      <c r="H16" s="80"/>
      <c r="I16" s="81"/>
      <c r="J16" s="79">
        <f>SUM(J5:P15)</f>
        <v>1006</v>
      </c>
      <c r="K16" s="80"/>
      <c r="L16" s="80"/>
      <c r="M16" s="80"/>
      <c r="N16" s="80"/>
      <c r="O16" s="80"/>
      <c r="P16" s="81"/>
      <c r="Q16" s="79">
        <f>SUM(Q5:W15)</f>
        <v>1328</v>
      </c>
      <c r="R16" s="80"/>
      <c r="S16" s="80"/>
      <c r="T16" s="80"/>
      <c r="U16" s="80"/>
      <c r="V16" s="80"/>
      <c r="W16" s="81"/>
      <c r="X16" s="79">
        <f>SUM(X5:AD15)</f>
        <v>839</v>
      </c>
      <c r="Y16" s="80"/>
      <c r="Z16" s="80"/>
      <c r="AA16" s="80"/>
      <c r="AB16" s="80"/>
      <c r="AC16" s="80"/>
      <c r="AD16" s="81"/>
      <c r="AE16" s="79">
        <f>SUM(AE5:AH15)</f>
        <v>161</v>
      </c>
      <c r="AF16" s="80"/>
      <c r="AG16" s="80"/>
      <c r="AH16" s="81"/>
      <c r="AI16" s="53">
        <f t="shared" si="0"/>
        <v>146</v>
      </c>
      <c r="AJ16" s="49">
        <f>SUM(AJ5,AJ6,AJ7,AJ8,AJ9,AJ10,AJ11,AJ12,AJ13,AJ14,AJ15)</f>
        <v>4380</v>
      </c>
      <c r="AK16" s="10">
        <f>SUM(AK5,AK6,AK7,AK8,AK9,AK10,AK11,AK12,AK13,AK14,AK15)</f>
        <v>172.30527143981115</v>
      </c>
    </row>
    <row r="17" spans="1:37" ht="18" customHeight="1" x14ac:dyDescent="0.3">
      <c r="A17" s="113" t="s">
        <v>26</v>
      </c>
      <c r="B17" s="113"/>
      <c r="C17" s="114"/>
      <c r="D17" s="115">
        <v>4059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7"/>
      <c r="AJ17" s="118"/>
      <c r="AK17" s="73"/>
    </row>
    <row r="18" spans="1:37" ht="18" customHeight="1" x14ac:dyDescent="0.3">
      <c r="A18" s="108" t="s">
        <v>27</v>
      </c>
      <c r="B18" s="108"/>
      <c r="C18" s="109"/>
      <c r="D18" s="119">
        <f>((AJ3+AJ4+D17)-AJ16)-D17</f>
        <v>-1838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8"/>
      <c r="AK18" s="31">
        <f>((AJ3+AJ4-AJ16)/(AJ3+AJ4))*100</f>
        <v>-72.305271439811165</v>
      </c>
    </row>
    <row r="19" spans="1:37" ht="18" customHeight="1" x14ac:dyDescent="0.3">
      <c r="A19" s="107" t="s">
        <v>28</v>
      </c>
      <c r="B19" s="108"/>
      <c r="C19" s="109"/>
      <c r="D19" s="110">
        <f>(AJ3+AJ4+D17)-AJ16</f>
        <v>2221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  <c r="AK19" s="54"/>
    </row>
    <row r="24" spans="1:37" x14ac:dyDescent="0.3">
      <c r="S24" s="1" t="s">
        <v>11</v>
      </c>
    </row>
  </sheetData>
  <mergeCells count="22">
    <mergeCell ref="A19:C19"/>
    <mergeCell ref="D19:AJ19"/>
    <mergeCell ref="D16:I16"/>
    <mergeCell ref="J16:P16"/>
    <mergeCell ref="Q16:W16"/>
    <mergeCell ref="X16:AD16"/>
    <mergeCell ref="AE16:AH16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24"/>
  <sheetViews>
    <sheetView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285156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2"/>
      <c r="B1" s="82"/>
      <c r="C1" s="83"/>
      <c r="D1" s="36" t="s">
        <v>5</v>
      </c>
      <c r="E1" s="36" t="s">
        <v>4</v>
      </c>
      <c r="F1" s="37" t="s">
        <v>29</v>
      </c>
      <c r="G1" s="56" t="s">
        <v>9</v>
      </c>
      <c r="H1" s="36" t="s">
        <v>8</v>
      </c>
      <c r="I1" s="37" t="s">
        <v>7</v>
      </c>
      <c r="J1" s="36" t="s">
        <v>6</v>
      </c>
      <c r="K1" s="36" t="s">
        <v>5</v>
      </c>
      <c r="L1" s="36" t="s">
        <v>4</v>
      </c>
      <c r="M1" s="37" t="s">
        <v>29</v>
      </c>
      <c r="N1" s="56" t="s">
        <v>9</v>
      </c>
      <c r="O1" s="36" t="s">
        <v>8</v>
      </c>
      <c r="P1" s="37" t="s">
        <v>7</v>
      </c>
      <c r="Q1" s="36" t="s">
        <v>6</v>
      </c>
      <c r="R1" s="36" t="s">
        <v>5</v>
      </c>
      <c r="S1" s="36" t="s">
        <v>4</v>
      </c>
      <c r="T1" s="37" t="s">
        <v>29</v>
      </c>
      <c r="U1" s="56" t="s">
        <v>9</v>
      </c>
      <c r="V1" s="36" t="s">
        <v>8</v>
      </c>
      <c r="W1" s="37" t="s">
        <v>7</v>
      </c>
      <c r="X1" s="36" t="s">
        <v>6</v>
      </c>
      <c r="Y1" s="36" t="s">
        <v>5</v>
      </c>
      <c r="Z1" s="36" t="s">
        <v>4</v>
      </c>
      <c r="AA1" s="37" t="s">
        <v>29</v>
      </c>
      <c r="AB1" s="56" t="s">
        <v>9</v>
      </c>
      <c r="AC1" s="36" t="s">
        <v>8</v>
      </c>
      <c r="AD1" s="37" t="s">
        <v>7</v>
      </c>
      <c r="AE1" s="36" t="s">
        <v>6</v>
      </c>
      <c r="AF1" s="36" t="s">
        <v>5</v>
      </c>
      <c r="AG1" s="36" t="s">
        <v>4</v>
      </c>
      <c r="AH1" s="37" t="s">
        <v>29</v>
      </c>
      <c r="AI1" s="86" t="s">
        <v>30</v>
      </c>
      <c r="AJ1" s="95" t="s">
        <v>31</v>
      </c>
      <c r="AK1" s="97" t="s">
        <v>10</v>
      </c>
    </row>
    <row r="2" spans="1:37" ht="18.95" customHeight="1" x14ac:dyDescent="0.3">
      <c r="A2" s="84"/>
      <c r="B2" s="84"/>
      <c r="C2" s="85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87"/>
      <c r="AJ2" s="96"/>
      <c r="AK2" s="98"/>
    </row>
    <row r="3" spans="1:37" ht="18.95" customHeight="1" x14ac:dyDescent="0.3">
      <c r="A3" s="99" t="s">
        <v>12</v>
      </c>
      <c r="B3" s="100"/>
      <c r="C3" s="58" t="s">
        <v>0</v>
      </c>
      <c r="D3" s="14"/>
      <c r="E3" s="15"/>
      <c r="F3" s="15"/>
      <c r="G3" s="15"/>
      <c r="H3" s="15"/>
      <c r="I3" s="18">
        <v>154</v>
      </c>
      <c r="J3" s="16"/>
      <c r="K3" s="15"/>
      <c r="L3" s="15"/>
      <c r="M3" s="15"/>
      <c r="N3" s="15"/>
      <c r="O3" s="15"/>
      <c r="P3" s="15"/>
      <c r="Q3" s="15">
        <v>497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4"/>
      <c r="AD3" s="15"/>
      <c r="AE3" s="17">
        <v>1250</v>
      </c>
      <c r="AF3" s="15"/>
      <c r="AG3" s="17"/>
      <c r="AH3" s="15"/>
      <c r="AI3" s="103">
        <f>AJ3/30</f>
        <v>63.366666666666667</v>
      </c>
      <c r="AJ3" s="48">
        <f>SUM(D3:AH3)</f>
        <v>1901</v>
      </c>
      <c r="AK3" s="105">
        <v>100</v>
      </c>
    </row>
    <row r="4" spans="1:37" ht="18.95" customHeight="1" x14ac:dyDescent="0.3">
      <c r="A4" s="101"/>
      <c r="B4" s="102"/>
      <c r="C4" s="59" t="s">
        <v>13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104"/>
      <c r="AJ4" s="48">
        <f>SUM(D4:AH4)</f>
        <v>0</v>
      </c>
      <c r="AK4" s="106"/>
    </row>
    <row r="5" spans="1:37" ht="18.95" customHeight="1" x14ac:dyDescent="0.3">
      <c r="A5" s="88" t="s">
        <v>14</v>
      </c>
      <c r="B5" s="91" t="s">
        <v>15</v>
      </c>
      <c r="C5" s="60" t="s">
        <v>16</v>
      </c>
      <c r="D5" s="21">
        <v>14</v>
      </c>
      <c r="E5" s="2">
        <v>20</v>
      </c>
      <c r="F5" s="2">
        <v>44</v>
      </c>
      <c r="G5" s="2">
        <v>27</v>
      </c>
      <c r="H5" s="2">
        <v>100</v>
      </c>
      <c r="I5" s="2">
        <v>88</v>
      </c>
      <c r="J5" s="22">
        <v>100</v>
      </c>
      <c r="K5" s="2"/>
      <c r="L5" s="2"/>
      <c r="M5" s="2"/>
      <c r="N5" s="2">
        <v>54</v>
      </c>
      <c r="O5" s="2"/>
      <c r="P5" s="2">
        <v>17</v>
      </c>
      <c r="Q5" s="2"/>
      <c r="R5" s="2">
        <v>100</v>
      </c>
      <c r="S5" s="2"/>
      <c r="T5" s="2"/>
      <c r="U5" s="2"/>
      <c r="V5" s="2">
        <v>68</v>
      </c>
      <c r="W5" s="2"/>
      <c r="X5" s="2">
        <v>3</v>
      </c>
      <c r="Y5" s="2">
        <v>22</v>
      </c>
      <c r="Z5" s="2"/>
      <c r="AA5" s="2">
        <v>183</v>
      </c>
      <c r="AB5" s="2">
        <v>16</v>
      </c>
      <c r="AC5" s="21"/>
      <c r="AD5" s="2">
        <v>25</v>
      </c>
      <c r="AE5" s="23"/>
      <c r="AF5" s="2">
        <v>100</v>
      </c>
      <c r="AG5" s="23"/>
      <c r="AH5" s="2"/>
      <c r="AI5" s="43">
        <f t="shared" ref="AI5:AI16" si="0">AJ5/30</f>
        <v>32.700000000000003</v>
      </c>
      <c r="AJ5" s="32">
        <f>SUM(D5,E5,F5,G5,H5,I5,J5,K5,L5,M5,N5,O5,P5,Q5,R5,S5,T5,U5,V5,W5,X5,Y5,Z5,AA5,AB5,AC5,AD5,AE5,AF5,AG5,AH5)</f>
        <v>981</v>
      </c>
      <c r="AK5" s="3">
        <f>(AJ5/(AJ3+AJ4))*100</f>
        <v>51.604418726985799</v>
      </c>
    </row>
    <row r="6" spans="1:37" ht="18.95" customHeight="1" x14ac:dyDescent="0.3">
      <c r="A6" s="89"/>
      <c r="B6" s="91"/>
      <c r="C6" s="61" t="s">
        <v>17</v>
      </c>
      <c r="D6" s="4"/>
      <c r="E6" s="4">
        <v>7</v>
      </c>
      <c r="F6" s="4"/>
      <c r="G6" s="4">
        <v>14</v>
      </c>
      <c r="H6" s="4">
        <v>10</v>
      </c>
      <c r="I6" s="4">
        <v>13</v>
      </c>
      <c r="J6" s="24">
        <v>29</v>
      </c>
      <c r="K6" s="4"/>
      <c r="L6" s="4"/>
      <c r="M6" s="4"/>
      <c r="N6" s="4">
        <v>3</v>
      </c>
      <c r="O6" s="4"/>
      <c r="P6" s="4"/>
      <c r="Q6" s="4"/>
      <c r="R6" s="4"/>
      <c r="S6" s="4"/>
      <c r="T6" s="4"/>
      <c r="U6" s="4"/>
      <c r="V6" s="4"/>
      <c r="W6" s="4">
        <v>8</v>
      </c>
      <c r="X6" s="4">
        <v>11</v>
      </c>
      <c r="Y6" s="4">
        <v>4</v>
      </c>
      <c r="Z6" s="4"/>
      <c r="AA6" s="4"/>
      <c r="AB6" s="4"/>
      <c r="AC6" s="25"/>
      <c r="AD6" s="4">
        <v>9</v>
      </c>
      <c r="AE6" s="24"/>
      <c r="AF6" s="4"/>
      <c r="AG6" s="24">
        <v>2</v>
      </c>
      <c r="AH6" s="4"/>
      <c r="AI6" s="44">
        <f t="shared" si="0"/>
        <v>3.6666666666666665</v>
      </c>
      <c r="AJ6" s="33">
        <f>SUM(D6,E6,F6,G6,H6,I6,J6,K6,L6,M6,N6,O6,P6,Q6,R6,S6,T6,U6,V6,W6,X6,Y6,Z6,AA6,AB6,AC6,AD6,AE6,AF6,AG6,AH6)</f>
        <v>110</v>
      </c>
      <c r="AK6" s="5">
        <f>(AJ6/(AJ3+AJ4))*100</f>
        <v>5.7864281956864803</v>
      </c>
    </row>
    <row r="7" spans="1:37" ht="18.95" customHeight="1" x14ac:dyDescent="0.3">
      <c r="A7" s="89"/>
      <c r="B7" s="91"/>
      <c r="C7" s="61" t="s">
        <v>18</v>
      </c>
      <c r="D7" s="25"/>
      <c r="E7" s="4"/>
      <c r="F7" s="4"/>
      <c r="G7" s="4"/>
      <c r="H7" s="4"/>
      <c r="I7" s="4"/>
      <c r="J7" s="24"/>
      <c r="K7" s="4"/>
      <c r="L7" s="4"/>
      <c r="M7" s="4"/>
      <c r="N7" s="4">
        <v>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>
        <v>86</v>
      </c>
      <c r="AE7" s="24"/>
      <c r="AF7" s="4"/>
      <c r="AG7" s="24"/>
      <c r="AH7" s="4"/>
      <c r="AI7" s="44">
        <f t="shared" si="0"/>
        <v>3.0333333333333332</v>
      </c>
      <c r="AJ7" s="33">
        <f>SUM(D7,E7,F7,G7,H7,I7,J7,K7,L7,M7,N7,O7,P7,Q7,R7,S7,T7,U7,V7,W7,X7,Y7,Z7,AA7,AB7,AC7,AD7,AE7,AF7,AG7,AH7)</f>
        <v>91</v>
      </c>
      <c r="AK7" s="5">
        <f>(AJ7/(AJ3+AJ4))*100</f>
        <v>4.7869542346133613</v>
      </c>
    </row>
    <row r="8" spans="1:37" ht="18.95" customHeight="1" x14ac:dyDescent="0.3">
      <c r="A8" s="89"/>
      <c r="B8" s="91"/>
      <c r="C8" s="62" t="s">
        <v>19</v>
      </c>
      <c r="D8" s="38"/>
      <c r="E8" s="39"/>
      <c r="F8" s="39"/>
      <c r="G8" s="39"/>
      <c r="H8" s="39">
        <v>17</v>
      </c>
      <c r="I8" s="39">
        <v>1</v>
      </c>
      <c r="J8" s="40">
        <v>1</v>
      </c>
      <c r="K8" s="39"/>
      <c r="L8" s="39"/>
      <c r="M8" s="39"/>
      <c r="N8" s="39">
        <v>2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>
        <v>15</v>
      </c>
      <c r="AB8" s="39"/>
      <c r="AC8" s="38"/>
      <c r="AD8" s="39"/>
      <c r="AE8" s="40"/>
      <c r="AF8" s="39"/>
      <c r="AG8" s="40"/>
      <c r="AH8" s="39"/>
      <c r="AI8" s="47">
        <f t="shared" si="0"/>
        <v>1.2</v>
      </c>
      <c r="AJ8" s="41">
        <f>SUM(D8,E8,F8,G8,H8,I8,J8,K8,L8,M8,N8,O8,P8,Q8,R8,S8,T8,U8,V8,W8,X8,Y8,Z8,AA8,AB8,AC8,AD8,AE8,AF8,AG8,AH8)</f>
        <v>36</v>
      </c>
      <c r="AK8" s="42">
        <f>(AJ8/(AJ3+AJ4))*100</f>
        <v>1.893740136770121</v>
      </c>
    </row>
    <row r="9" spans="1:37" ht="18.95" customHeight="1" x14ac:dyDescent="0.3">
      <c r="A9" s="89"/>
      <c r="B9" s="91"/>
      <c r="C9" s="60" t="s">
        <v>1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>
        <v>60</v>
      </c>
      <c r="AE9" s="23"/>
      <c r="AF9" s="2"/>
      <c r="AG9" s="23"/>
      <c r="AH9" s="2"/>
      <c r="AI9" s="43">
        <f t="shared" si="0"/>
        <v>2</v>
      </c>
      <c r="AJ9" s="32">
        <f>SUM(D9,E9,F9,G9,H9,I9,J9,K9,L9,M9,N9,O9,P9,Q9,R9,S9,T9,U9,V9,W9,X9,Y9,Z9,AA9,AB9,AC9,AD9,AE9,AF9,AG9,AH9)</f>
        <v>60</v>
      </c>
      <c r="AK9" s="3">
        <f>(AJ9/(AJ3+AJ4))*100</f>
        <v>3.156233561283535</v>
      </c>
    </row>
    <row r="10" spans="1:37" ht="18.95" customHeight="1" x14ac:dyDescent="0.3">
      <c r="A10" s="89"/>
      <c r="B10" s="91"/>
      <c r="C10" s="61" t="s">
        <v>20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9"/>
      <c r="B11" s="91"/>
      <c r="C11" s="61" t="s">
        <v>21</v>
      </c>
      <c r="D11" s="21"/>
      <c r="E11" s="2"/>
      <c r="F11" s="2"/>
      <c r="G11" s="2"/>
      <c r="H11" s="2"/>
      <c r="I11" s="2">
        <v>10</v>
      </c>
      <c r="J11" s="2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>
        <v>12</v>
      </c>
      <c r="X11" s="2">
        <v>84</v>
      </c>
      <c r="Y11" s="2"/>
      <c r="Z11" s="2"/>
      <c r="AA11" s="2">
        <v>17</v>
      </c>
      <c r="AB11" s="2"/>
      <c r="AC11" s="21"/>
      <c r="AD11" s="2"/>
      <c r="AE11" s="23"/>
      <c r="AF11" s="2"/>
      <c r="AG11" s="23"/>
      <c r="AH11" s="2"/>
      <c r="AI11" s="43">
        <f t="shared" si="0"/>
        <v>4.0999999999999996</v>
      </c>
      <c r="AJ11" s="32">
        <f>SUM(D11,E11,F11,G11,H11,I11,J11,K11,L11,M11,N11,O11,P11,Q11,R11,S11,T11,U11,V11,W11,X11,Y11,Z11,AA11,AB11,AC11,AD11,AE11,AF11,AG11,AH11)</f>
        <v>123</v>
      </c>
      <c r="AK11" s="3">
        <f>(AJ11/(AJ3+AJ4))*100</f>
        <v>6.4702788006312462</v>
      </c>
    </row>
    <row r="12" spans="1:37" ht="18.95" customHeight="1" x14ac:dyDescent="0.3">
      <c r="A12" s="89"/>
      <c r="B12" s="92" t="s">
        <v>22</v>
      </c>
      <c r="C12" s="63" t="s">
        <v>2</v>
      </c>
      <c r="D12" s="6"/>
      <c r="E12" s="6"/>
      <c r="F12" s="6"/>
      <c r="G12" s="6"/>
      <c r="H12" s="6"/>
      <c r="I12" s="6"/>
      <c r="J12" s="26"/>
      <c r="K12" s="6"/>
      <c r="L12" s="6"/>
      <c r="M12" s="6"/>
      <c r="N12" s="6">
        <v>16</v>
      </c>
      <c r="O12" s="6"/>
      <c r="P12" s="6"/>
      <c r="Q12" s="6"/>
      <c r="R12" s="6">
        <v>20</v>
      </c>
      <c r="S12" s="6"/>
      <c r="T12" s="6"/>
      <c r="U12" s="6"/>
      <c r="V12" s="6"/>
      <c r="W12" s="6"/>
      <c r="X12" s="6">
        <v>6</v>
      </c>
      <c r="Y12" s="6">
        <v>14</v>
      </c>
      <c r="Z12" s="6"/>
      <c r="AA12" s="6">
        <v>16</v>
      </c>
      <c r="AB12" s="6"/>
      <c r="AC12" s="27"/>
      <c r="AD12" s="6"/>
      <c r="AE12" s="26"/>
      <c r="AF12" s="6">
        <v>29</v>
      </c>
      <c r="AG12" s="26"/>
      <c r="AH12" s="6"/>
      <c r="AI12" s="45">
        <f t="shared" si="0"/>
        <v>3.3666666666666667</v>
      </c>
      <c r="AJ12" s="34">
        <f>SUM(D12,E12,F12,G12,H12,I12,J12,K12,L12,M12,N12,O12,P12,Q12,R12,S12,T12,U12,V12,W12,X12,Y12,Z12,AA12,AB12,AC12,AD12,AE12,AF12,AG12,AH12)</f>
        <v>101</v>
      </c>
      <c r="AK12" s="7">
        <f>(AJ12/(AJ3+AJ4))*100</f>
        <v>5.3129931614939512</v>
      </c>
    </row>
    <row r="13" spans="1:37" ht="18.95" customHeight="1" x14ac:dyDescent="0.3">
      <c r="A13" s="89"/>
      <c r="B13" s="93"/>
      <c r="C13" s="63" t="s">
        <v>32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</v>
      </c>
      <c r="AJ13" s="35">
        <f t="shared" si="1"/>
        <v>0</v>
      </c>
      <c r="AK13" s="9">
        <f>(AJ13/(AJ3+AJ4))*100</f>
        <v>0</v>
      </c>
    </row>
    <row r="14" spans="1:37" ht="18.95" customHeight="1" x14ac:dyDescent="0.3">
      <c r="A14" s="89"/>
      <c r="B14" s="93"/>
      <c r="C14" s="57" t="s">
        <v>23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0</v>
      </c>
      <c r="AJ14" s="34">
        <f t="shared" si="1"/>
        <v>0</v>
      </c>
      <c r="AK14" s="7">
        <f>(AJ14/(AJ3+AJ4))*100</f>
        <v>0</v>
      </c>
    </row>
    <row r="15" spans="1:37" ht="18.95" customHeight="1" x14ac:dyDescent="0.3">
      <c r="A15" s="89"/>
      <c r="B15" s="94"/>
      <c r="C15" s="63" t="s">
        <v>24</v>
      </c>
      <c r="D15" s="51"/>
      <c r="E15" s="51"/>
      <c r="F15" s="51"/>
      <c r="G15" s="51"/>
      <c r="H15" s="51"/>
      <c r="I15" s="51"/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2"/>
      <c r="AD15" s="51"/>
      <c r="AE15" s="50"/>
      <c r="AF15" s="51"/>
      <c r="AG15" s="50"/>
      <c r="AH15" s="51"/>
      <c r="AI15" s="45">
        <f t="shared" si="0"/>
        <v>0</v>
      </c>
      <c r="AJ15" s="34">
        <f>SUM(D15,E15,F15,G15,H15,I15,J15,K15,L15,M15,N15,O15,P15,Q15,R15,S15,T15,U15,V15,W15,X15,Y15,Z15,AA15,AB15,AC15,AD15,AE15,AF15,AG15,AH15)</f>
        <v>0</v>
      </c>
      <c r="AK15" s="7">
        <f>(AJ15/(AJ3+AJ4))*100</f>
        <v>0</v>
      </c>
    </row>
    <row r="16" spans="1:37" ht="18.399999999999999" customHeight="1" x14ac:dyDescent="0.3">
      <c r="A16" s="90"/>
      <c r="B16" s="79" t="s">
        <v>25</v>
      </c>
      <c r="C16" s="80"/>
      <c r="D16" s="79">
        <f>SUM(D5:F15)+161</f>
        <v>246</v>
      </c>
      <c r="E16" s="80"/>
      <c r="F16" s="81"/>
      <c r="G16" s="79">
        <f>SUM(G5:M15)</f>
        <v>410</v>
      </c>
      <c r="H16" s="80"/>
      <c r="I16" s="80"/>
      <c r="J16" s="80"/>
      <c r="K16" s="80"/>
      <c r="L16" s="80"/>
      <c r="M16" s="81"/>
      <c r="N16" s="79">
        <f>SUM(N5:T15)</f>
        <v>217</v>
      </c>
      <c r="O16" s="80"/>
      <c r="P16" s="80"/>
      <c r="Q16" s="80"/>
      <c r="R16" s="80"/>
      <c r="S16" s="80"/>
      <c r="T16" s="81"/>
      <c r="U16" s="79">
        <f>SUM(U5:AA15)</f>
        <v>463</v>
      </c>
      <c r="V16" s="80"/>
      <c r="W16" s="80"/>
      <c r="X16" s="80"/>
      <c r="Y16" s="80"/>
      <c r="Z16" s="80"/>
      <c r="AA16" s="81"/>
      <c r="AB16" s="79">
        <f>SUM(AB5:AH15)</f>
        <v>327</v>
      </c>
      <c r="AC16" s="80"/>
      <c r="AD16" s="80"/>
      <c r="AE16" s="80"/>
      <c r="AF16" s="80"/>
      <c r="AG16" s="80"/>
      <c r="AH16" s="81"/>
      <c r="AI16" s="53">
        <f t="shared" si="0"/>
        <v>50.06666666666667</v>
      </c>
      <c r="AJ16" s="49">
        <f>SUM(AJ5,AJ6,AJ7,AJ8,AJ9,AJ10,AJ11,AJ12,AJ13,AJ14,AJ15)</f>
        <v>1502</v>
      </c>
      <c r="AK16" s="10">
        <f>SUM(AK5,AK6,AK7,AK8,AK9,AK10,AK11,AK12,AK13,AK14,AK15)</f>
        <v>79.011046817464489</v>
      </c>
    </row>
    <row r="17" spans="1:37" ht="18" customHeight="1" x14ac:dyDescent="0.3">
      <c r="A17" s="113" t="s">
        <v>26</v>
      </c>
      <c r="B17" s="113"/>
      <c r="C17" s="114"/>
      <c r="D17" s="115">
        <v>2221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7"/>
      <c r="AJ17" s="118"/>
      <c r="AK17" s="74"/>
    </row>
    <row r="18" spans="1:37" ht="18" customHeight="1" x14ac:dyDescent="0.3">
      <c r="A18" s="108" t="s">
        <v>27</v>
      </c>
      <c r="B18" s="108"/>
      <c r="C18" s="109"/>
      <c r="D18" s="119">
        <f>((AJ3+AJ4+D17)-AJ16)-D17</f>
        <v>399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8"/>
      <c r="AK18" s="31">
        <f>((AJ3+AJ4-AJ16)/(AJ3+AJ4))*100</f>
        <v>20.988953182535507</v>
      </c>
    </row>
    <row r="19" spans="1:37" ht="18" customHeight="1" x14ac:dyDescent="0.3">
      <c r="A19" s="107" t="s">
        <v>28</v>
      </c>
      <c r="B19" s="108"/>
      <c r="C19" s="109"/>
      <c r="D19" s="110">
        <f>(AJ3+AJ4+D17)-AJ16</f>
        <v>2620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  <c r="AK19" s="54"/>
    </row>
    <row r="24" spans="1:37" x14ac:dyDescent="0.3">
      <c r="S24" s="1" t="s">
        <v>11</v>
      </c>
    </row>
  </sheetData>
  <mergeCells count="22">
    <mergeCell ref="A1:C2"/>
    <mergeCell ref="AI1:AI2"/>
    <mergeCell ref="AJ1:AJ2"/>
    <mergeCell ref="AK1:AK2"/>
    <mergeCell ref="A3:B4"/>
    <mergeCell ref="AI3:AI4"/>
    <mergeCell ref="AK3:AK4"/>
    <mergeCell ref="A19:C19"/>
    <mergeCell ref="D19:AJ19"/>
    <mergeCell ref="D16:F16"/>
    <mergeCell ref="G16:M16"/>
    <mergeCell ref="N16:T16"/>
    <mergeCell ref="U16:AA16"/>
    <mergeCell ref="AB16:AH16"/>
    <mergeCell ref="A17:C17"/>
    <mergeCell ref="D17:AJ17"/>
    <mergeCell ref="A18:C18"/>
    <mergeCell ref="D18:AJ18"/>
    <mergeCell ref="A5:A16"/>
    <mergeCell ref="B5:B11"/>
    <mergeCell ref="B12:B15"/>
    <mergeCell ref="B16:C1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24"/>
  <sheetViews>
    <sheetView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285156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2"/>
      <c r="B1" s="82"/>
      <c r="C1" s="83"/>
      <c r="D1" s="56" t="s">
        <v>9</v>
      </c>
      <c r="E1" s="36" t="s">
        <v>8</v>
      </c>
      <c r="F1" s="37" t="s">
        <v>7</v>
      </c>
      <c r="G1" s="36" t="s">
        <v>6</v>
      </c>
      <c r="H1" s="36" t="s">
        <v>5</v>
      </c>
      <c r="I1" s="36" t="s">
        <v>4</v>
      </c>
      <c r="J1" s="37" t="s">
        <v>29</v>
      </c>
      <c r="K1" s="56" t="s">
        <v>9</v>
      </c>
      <c r="L1" s="36" t="s">
        <v>8</v>
      </c>
      <c r="M1" s="37" t="s">
        <v>7</v>
      </c>
      <c r="N1" s="36" t="s">
        <v>6</v>
      </c>
      <c r="O1" s="36" t="s">
        <v>5</v>
      </c>
      <c r="P1" s="36" t="s">
        <v>4</v>
      </c>
      <c r="Q1" s="37" t="s">
        <v>29</v>
      </c>
      <c r="R1" s="56" t="s">
        <v>9</v>
      </c>
      <c r="S1" s="36" t="s">
        <v>8</v>
      </c>
      <c r="T1" s="37" t="s">
        <v>7</v>
      </c>
      <c r="U1" s="36" t="s">
        <v>6</v>
      </c>
      <c r="V1" s="36" t="s">
        <v>5</v>
      </c>
      <c r="W1" s="36" t="s">
        <v>4</v>
      </c>
      <c r="X1" s="37" t="s">
        <v>29</v>
      </c>
      <c r="Y1" s="56" t="s">
        <v>9</v>
      </c>
      <c r="Z1" s="36" t="s">
        <v>8</v>
      </c>
      <c r="AA1" s="37" t="s">
        <v>7</v>
      </c>
      <c r="AB1" s="36" t="s">
        <v>6</v>
      </c>
      <c r="AC1" s="36" t="s">
        <v>5</v>
      </c>
      <c r="AD1" s="36" t="s">
        <v>4</v>
      </c>
      <c r="AE1" s="37" t="s">
        <v>29</v>
      </c>
      <c r="AF1" s="56" t="s">
        <v>9</v>
      </c>
      <c r="AG1" s="36" t="s">
        <v>8</v>
      </c>
      <c r="AH1" s="37"/>
      <c r="AI1" s="86" t="s">
        <v>30</v>
      </c>
      <c r="AJ1" s="95" t="s">
        <v>31</v>
      </c>
      <c r="AK1" s="97" t="s">
        <v>10</v>
      </c>
    </row>
    <row r="2" spans="1:37" ht="18.95" customHeight="1" x14ac:dyDescent="0.3">
      <c r="A2" s="84"/>
      <c r="B2" s="84"/>
      <c r="C2" s="85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87"/>
      <c r="AJ2" s="96"/>
      <c r="AK2" s="98"/>
    </row>
    <row r="3" spans="1:37" ht="18.95" customHeight="1" x14ac:dyDescent="0.3">
      <c r="A3" s="99" t="s">
        <v>12</v>
      </c>
      <c r="B3" s="100"/>
      <c r="C3" s="58" t="s">
        <v>0</v>
      </c>
      <c r="D3" s="14"/>
      <c r="E3" s="15"/>
      <c r="F3" s="15"/>
      <c r="G3" s="15"/>
      <c r="H3" s="15"/>
      <c r="I3" s="18"/>
      <c r="J3" s="16">
        <v>632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>
        <v>393</v>
      </c>
      <c r="V3" s="15">
        <v>1030</v>
      </c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3">
        <f>AJ3/30</f>
        <v>68.5</v>
      </c>
      <c r="AJ3" s="48">
        <f>SUM(D3:AH3)</f>
        <v>2055</v>
      </c>
      <c r="AK3" s="105">
        <v>100</v>
      </c>
    </row>
    <row r="4" spans="1:37" ht="18.95" customHeight="1" x14ac:dyDescent="0.3">
      <c r="A4" s="101"/>
      <c r="B4" s="102"/>
      <c r="C4" s="59" t="s">
        <v>13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104"/>
      <c r="AJ4" s="48">
        <f>SUM(D4:AH4)</f>
        <v>0</v>
      </c>
      <c r="AK4" s="106"/>
    </row>
    <row r="5" spans="1:37" ht="18.95" customHeight="1" x14ac:dyDescent="0.3">
      <c r="A5" s="88" t="s">
        <v>14</v>
      </c>
      <c r="B5" s="91" t="s">
        <v>15</v>
      </c>
      <c r="C5" s="60" t="s">
        <v>16</v>
      </c>
      <c r="D5" s="21"/>
      <c r="E5" s="2">
        <v>110</v>
      </c>
      <c r="F5" s="2">
        <v>26</v>
      </c>
      <c r="G5" s="2">
        <v>23</v>
      </c>
      <c r="H5" s="2">
        <v>19</v>
      </c>
      <c r="I5" s="2"/>
      <c r="J5" s="22">
        <v>35</v>
      </c>
      <c r="K5" s="2"/>
      <c r="L5" s="2">
        <v>126</v>
      </c>
      <c r="M5" s="2"/>
      <c r="N5" s="2"/>
      <c r="O5" s="2">
        <v>59</v>
      </c>
      <c r="P5" s="2"/>
      <c r="Q5" s="2"/>
      <c r="R5" s="2">
        <v>75</v>
      </c>
      <c r="S5" s="2">
        <v>15</v>
      </c>
      <c r="T5" s="2">
        <v>10</v>
      </c>
      <c r="U5" s="2">
        <v>29</v>
      </c>
      <c r="V5" s="2">
        <v>35</v>
      </c>
      <c r="W5" s="2">
        <v>62</v>
      </c>
      <c r="X5" s="2">
        <v>70</v>
      </c>
      <c r="Y5" s="2"/>
      <c r="Z5" s="2"/>
      <c r="AA5" s="2">
        <v>72</v>
      </c>
      <c r="AB5" s="2">
        <v>8</v>
      </c>
      <c r="AC5" s="21"/>
      <c r="AD5" s="2">
        <v>83</v>
      </c>
      <c r="AE5" s="23"/>
      <c r="AF5" s="2">
        <v>23</v>
      </c>
      <c r="AG5" s="23">
        <v>93</v>
      </c>
      <c r="AH5" s="2"/>
      <c r="AI5" s="43">
        <f t="shared" ref="AI5:AI16" si="0">AJ5/30</f>
        <v>32.43333333333333</v>
      </c>
      <c r="AJ5" s="32">
        <f>SUM(D5,E5,F5,G5,H5,I5,J5,K5,L5,M5,N5,O5,P5,Q5,R5,S5,T5,U5,V5,W5,X5,Y5,Z5,AA5,AB5,AC5,AD5,AE5,AF5,AG5,AH5)</f>
        <v>973</v>
      </c>
      <c r="AK5" s="3">
        <f>(AJ5/(AJ3+AJ4))*100</f>
        <v>47.347931873479318</v>
      </c>
    </row>
    <row r="6" spans="1:37" ht="18.95" customHeight="1" x14ac:dyDescent="0.3">
      <c r="A6" s="89"/>
      <c r="B6" s="91"/>
      <c r="C6" s="61" t="s">
        <v>17</v>
      </c>
      <c r="D6" s="4"/>
      <c r="E6" s="4"/>
      <c r="F6" s="4">
        <v>14</v>
      </c>
      <c r="G6" s="4">
        <v>4</v>
      </c>
      <c r="H6" s="4">
        <v>45</v>
      </c>
      <c r="I6" s="4"/>
      <c r="J6" s="24"/>
      <c r="K6" s="4"/>
      <c r="L6" s="4"/>
      <c r="M6" s="4"/>
      <c r="N6" s="4"/>
      <c r="O6" s="4">
        <v>14</v>
      </c>
      <c r="P6" s="4">
        <v>5</v>
      </c>
      <c r="Q6" s="4">
        <v>17</v>
      </c>
      <c r="R6" s="4">
        <v>15</v>
      </c>
      <c r="S6" s="4">
        <v>13</v>
      </c>
      <c r="T6" s="4">
        <v>10</v>
      </c>
      <c r="U6" s="4">
        <v>7</v>
      </c>
      <c r="V6" s="4"/>
      <c r="W6" s="4">
        <v>6</v>
      </c>
      <c r="X6" s="4">
        <v>10</v>
      </c>
      <c r="Y6" s="4">
        <v>10</v>
      </c>
      <c r="Z6" s="4">
        <v>11</v>
      </c>
      <c r="AA6" s="4">
        <v>19</v>
      </c>
      <c r="AB6" s="4">
        <v>7</v>
      </c>
      <c r="AC6" s="25">
        <v>37</v>
      </c>
      <c r="AD6" s="4">
        <v>39</v>
      </c>
      <c r="AE6" s="24">
        <v>12</v>
      </c>
      <c r="AF6" s="4">
        <v>7</v>
      </c>
      <c r="AG6" s="24">
        <v>16</v>
      </c>
      <c r="AH6" s="4"/>
      <c r="AI6" s="44">
        <f t="shared" si="0"/>
        <v>10.6</v>
      </c>
      <c r="AJ6" s="33">
        <f>SUM(D6,E6,F6,G6,H6,I6,J6,K6,L6,M6,N6,O6,P6,Q6,R6,S6,T6,U6,V6,W6,X6,Y6,Z6,AA6,AB6,AC6,AD6,AE6,AF6,AG6,AH6)</f>
        <v>318</v>
      </c>
      <c r="AK6" s="5">
        <f>(AJ6/(AJ3+AJ4))*100</f>
        <v>15.474452554744525</v>
      </c>
    </row>
    <row r="7" spans="1:37" ht="18.95" customHeight="1" x14ac:dyDescent="0.3">
      <c r="A7" s="89"/>
      <c r="B7" s="91"/>
      <c r="C7" s="61" t="s">
        <v>18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>
        <v>100</v>
      </c>
      <c r="AE7" s="24"/>
      <c r="AF7" s="4"/>
      <c r="AG7" s="24"/>
      <c r="AH7" s="4"/>
      <c r="AI7" s="44">
        <f t="shared" si="0"/>
        <v>3.3333333333333335</v>
      </c>
      <c r="AJ7" s="33">
        <f>SUM(D7,E7,F7,G7,H7,I7,J7,K7,L7,M7,N7,O7,P7,Q7,R7,S7,T7,U7,V7,W7,X7,Y7,Z7,AA7,AB7,AC7,AD7,AE7,AF7,AG7,AH7)</f>
        <v>100</v>
      </c>
      <c r="AK7" s="5">
        <f>(AJ7/(AJ3+AJ4))*100</f>
        <v>4.8661800486618008</v>
      </c>
    </row>
    <row r="8" spans="1:37" ht="18.95" customHeight="1" x14ac:dyDescent="0.3">
      <c r="A8" s="89"/>
      <c r="B8" s="91"/>
      <c r="C8" s="62" t="s">
        <v>19</v>
      </c>
      <c r="D8" s="38"/>
      <c r="E8" s="39">
        <v>70</v>
      </c>
      <c r="F8" s="39"/>
      <c r="G8" s="39"/>
      <c r="H8" s="39">
        <v>14</v>
      </c>
      <c r="I8" s="39"/>
      <c r="J8" s="40"/>
      <c r="K8" s="39"/>
      <c r="L8" s="39"/>
      <c r="M8" s="39"/>
      <c r="N8" s="39">
        <v>3</v>
      </c>
      <c r="O8" s="39">
        <v>1</v>
      </c>
      <c r="P8" s="39"/>
      <c r="Q8" s="39"/>
      <c r="R8" s="39"/>
      <c r="S8" s="39"/>
      <c r="T8" s="39"/>
      <c r="U8" s="39"/>
      <c r="V8" s="39"/>
      <c r="W8" s="39"/>
      <c r="X8" s="39"/>
      <c r="Y8" s="39"/>
      <c r="Z8" s="39">
        <v>3</v>
      </c>
      <c r="AA8" s="39">
        <v>3</v>
      </c>
      <c r="AB8" s="39"/>
      <c r="AC8" s="38"/>
      <c r="AD8" s="39">
        <v>25</v>
      </c>
      <c r="AE8" s="40">
        <v>12</v>
      </c>
      <c r="AF8" s="39"/>
      <c r="AG8" s="40">
        <v>2</v>
      </c>
      <c r="AH8" s="39"/>
      <c r="AI8" s="47">
        <f t="shared" si="0"/>
        <v>4.4333333333333336</v>
      </c>
      <c r="AJ8" s="41">
        <f>SUM(D8,E8,F8,G8,H8,I8,J8,K8,L8,M8,N8,O8,P8,Q8,R8,S8,T8,U8,V8,W8,X8,Y8,Z8,AA8,AB8,AC8,AD8,AE8,AF8,AG8,AH8)</f>
        <v>133</v>
      </c>
      <c r="AK8" s="42">
        <f>(AJ8/(AJ3+AJ4))*100</f>
        <v>6.4720194647201943</v>
      </c>
    </row>
    <row r="9" spans="1:37" ht="18.95" customHeight="1" x14ac:dyDescent="0.3">
      <c r="A9" s="89"/>
      <c r="B9" s="91"/>
      <c r="C9" s="60" t="s">
        <v>1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>
        <v>100</v>
      </c>
      <c r="AC9" s="21"/>
      <c r="AD9" s="2"/>
      <c r="AE9" s="23"/>
      <c r="AF9" s="2"/>
      <c r="AG9" s="23"/>
      <c r="AH9" s="2"/>
      <c r="AI9" s="43">
        <f t="shared" si="0"/>
        <v>3.3333333333333335</v>
      </c>
      <c r="AJ9" s="32">
        <f>SUM(D9,E9,F9,G9,H9,I9,J9,K9,L9,M9,N9,O9,P9,Q9,R9,S9,T9,U9,V9,W9,X9,Y9,Z9,AA9,AB9,AC9,AD9,AE9,AF9,AG9,AH9)</f>
        <v>100</v>
      </c>
      <c r="AK9" s="3">
        <f>(AJ9/(AJ3+AJ4))*100</f>
        <v>4.8661800486618008</v>
      </c>
    </row>
    <row r="10" spans="1:37" ht="18.95" customHeight="1" x14ac:dyDescent="0.3">
      <c r="A10" s="89"/>
      <c r="B10" s="91"/>
      <c r="C10" s="61" t="s">
        <v>20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9"/>
      <c r="B11" s="91"/>
      <c r="C11" s="61" t="s">
        <v>21</v>
      </c>
      <c r="D11" s="21"/>
      <c r="E11" s="2"/>
      <c r="F11" s="2"/>
      <c r="G11" s="2">
        <v>5</v>
      </c>
      <c r="H11" s="2"/>
      <c r="I11" s="2"/>
      <c r="J11" s="2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>
        <v>31</v>
      </c>
      <c r="X11" s="2">
        <v>2</v>
      </c>
      <c r="Y11" s="2"/>
      <c r="Z11" s="2"/>
      <c r="AA11" s="2"/>
      <c r="AB11" s="2"/>
      <c r="AC11" s="21">
        <v>3</v>
      </c>
      <c r="AD11" s="2"/>
      <c r="AE11" s="23">
        <v>10</v>
      </c>
      <c r="AF11" s="2"/>
      <c r="AG11" s="23"/>
      <c r="AH11" s="2"/>
      <c r="AI11" s="43">
        <f t="shared" si="0"/>
        <v>1.7</v>
      </c>
      <c r="AJ11" s="32">
        <f>SUM(D11,E11,F11,G11,H11,I11,J11,K11,L11,M11,N11,O11,P11,Q11,R11,S11,T11,U11,V11,W11,X11,Y11,Z11,AA11,AB11,AC11,AD11,AE11,AF11,AG11,AH11)</f>
        <v>51</v>
      </c>
      <c r="AK11" s="3">
        <f>(AJ11/(AJ3+AJ4))*100</f>
        <v>2.4817518248175183</v>
      </c>
    </row>
    <row r="12" spans="1:37" ht="18.95" customHeight="1" x14ac:dyDescent="0.3">
      <c r="A12" s="89"/>
      <c r="B12" s="92" t="s">
        <v>22</v>
      </c>
      <c r="C12" s="63" t="s">
        <v>2</v>
      </c>
      <c r="D12" s="6"/>
      <c r="E12" s="6"/>
      <c r="F12" s="6"/>
      <c r="G12" s="6"/>
      <c r="H12" s="6"/>
      <c r="I12" s="6"/>
      <c r="J12" s="26"/>
      <c r="K12" s="6"/>
      <c r="L12" s="6"/>
      <c r="M12" s="6"/>
      <c r="N12" s="6"/>
      <c r="O12" s="6">
        <v>31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27">
        <v>8</v>
      </c>
      <c r="AD12" s="6"/>
      <c r="AE12" s="26">
        <v>9</v>
      </c>
      <c r="AF12" s="6"/>
      <c r="AG12" s="26"/>
      <c r="AH12" s="6"/>
      <c r="AI12" s="45">
        <f t="shared" si="0"/>
        <v>1.6</v>
      </c>
      <c r="AJ12" s="34">
        <f>SUM(D12,E12,F12,G12,H12,I12,J12,K12,L12,M12,N12,O12,P12,Q12,R12,S12,T12,U12,V12,W12,X12,Y12,Z12,AA12,AB12,AC12,AD12,AE12,AF12,AG12,AH12)</f>
        <v>48</v>
      </c>
      <c r="AK12" s="7">
        <f>(AJ12/(AJ3+AJ4))*100</f>
        <v>2.335766423357664</v>
      </c>
    </row>
    <row r="13" spans="1:37" ht="18.95" customHeight="1" x14ac:dyDescent="0.3">
      <c r="A13" s="89"/>
      <c r="B13" s="93"/>
      <c r="C13" s="63" t="s">
        <v>32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>
        <v>15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0.5</v>
      </c>
      <c r="AJ13" s="35">
        <f t="shared" si="1"/>
        <v>15</v>
      </c>
      <c r="AK13" s="9">
        <f>(AJ13/(AJ3+AJ4))*100</f>
        <v>0.72992700729927007</v>
      </c>
    </row>
    <row r="14" spans="1:37" ht="18.95" customHeight="1" x14ac:dyDescent="0.3">
      <c r="A14" s="89"/>
      <c r="B14" s="93"/>
      <c r="C14" s="57" t="s">
        <v>23</v>
      </c>
      <c r="D14" s="6"/>
      <c r="E14" s="6"/>
      <c r="F14" s="6"/>
      <c r="G14" s="6"/>
      <c r="H14" s="6">
        <v>150</v>
      </c>
      <c r="I14" s="6"/>
      <c r="J14" s="26"/>
      <c r="K14" s="6"/>
      <c r="L14" s="6"/>
      <c r="M14" s="6"/>
      <c r="N14" s="6"/>
      <c r="O14" s="6"/>
      <c r="P14" s="6">
        <v>16</v>
      </c>
      <c r="Q14" s="6">
        <v>50</v>
      </c>
      <c r="R14" s="6"/>
      <c r="S14" s="6"/>
      <c r="T14" s="6"/>
      <c r="U14" s="6"/>
      <c r="V14" s="6">
        <v>209</v>
      </c>
      <c r="W14" s="6">
        <v>6</v>
      </c>
      <c r="X14" s="6"/>
      <c r="Y14" s="6"/>
      <c r="Z14" s="6"/>
      <c r="AA14" s="6"/>
      <c r="AB14" s="6"/>
      <c r="AC14" s="27"/>
      <c r="AD14" s="6"/>
      <c r="AE14" s="26"/>
      <c r="AF14" s="6"/>
      <c r="AG14" s="26">
        <v>42</v>
      </c>
      <c r="AH14" s="6"/>
      <c r="AI14" s="45">
        <f t="shared" si="0"/>
        <v>15.766666666666667</v>
      </c>
      <c r="AJ14" s="34">
        <f t="shared" si="1"/>
        <v>473</v>
      </c>
      <c r="AK14" s="7">
        <f>(AJ14/(AJ3+AJ4))*100</f>
        <v>23.017031630170319</v>
      </c>
    </row>
    <row r="15" spans="1:37" ht="18.95" customHeight="1" x14ac:dyDescent="0.3">
      <c r="A15" s="89"/>
      <c r="B15" s="94"/>
      <c r="C15" s="63" t="s">
        <v>24</v>
      </c>
      <c r="D15" s="51"/>
      <c r="E15" s="51"/>
      <c r="F15" s="51"/>
      <c r="G15" s="51"/>
      <c r="H15" s="51"/>
      <c r="I15" s="51"/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2"/>
      <c r="AD15" s="51"/>
      <c r="AE15" s="50"/>
      <c r="AF15" s="51"/>
      <c r="AG15" s="50"/>
      <c r="AH15" s="51"/>
      <c r="AI15" s="45">
        <f t="shared" si="0"/>
        <v>0</v>
      </c>
      <c r="AJ15" s="34">
        <f>SUM(D15,E15,F15,G15,H15,I15,J15,K15,L15,M15,N15,O15,P15,Q15,R15,S15,T15,U15,V15,W15,X15,Y15,Z15,AA15,AB15,AC15,AD15,AE15,AF15,AG15,AH15)</f>
        <v>0</v>
      </c>
      <c r="AK15" s="7">
        <f>(AJ15/(AJ3+AJ4))*100</f>
        <v>0</v>
      </c>
    </row>
    <row r="16" spans="1:37" ht="18.399999999999999" customHeight="1" x14ac:dyDescent="0.3">
      <c r="A16" s="90"/>
      <c r="B16" s="79" t="s">
        <v>25</v>
      </c>
      <c r="C16" s="80"/>
      <c r="D16" s="79">
        <f>SUM(D5:J15)</f>
        <v>515</v>
      </c>
      <c r="E16" s="80"/>
      <c r="F16" s="80"/>
      <c r="G16" s="80"/>
      <c r="H16" s="80"/>
      <c r="I16" s="80"/>
      <c r="J16" s="81"/>
      <c r="K16" s="79">
        <f>SUM(K5:Q15)</f>
        <v>337</v>
      </c>
      <c r="L16" s="80"/>
      <c r="M16" s="80"/>
      <c r="N16" s="80"/>
      <c r="O16" s="80"/>
      <c r="P16" s="80"/>
      <c r="Q16" s="81"/>
      <c r="R16" s="79">
        <f>SUM(R5:X15)</f>
        <v>605</v>
      </c>
      <c r="S16" s="80"/>
      <c r="T16" s="80"/>
      <c r="U16" s="80"/>
      <c r="V16" s="80"/>
      <c r="W16" s="80"/>
      <c r="X16" s="81"/>
      <c r="Y16" s="79">
        <f>SUM(Y5:AE15)</f>
        <v>571</v>
      </c>
      <c r="Z16" s="80"/>
      <c r="AA16" s="80"/>
      <c r="AB16" s="80"/>
      <c r="AC16" s="80"/>
      <c r="AD16" s="80"/>
      <c r="AE16" s="81"/>
      <c r="AF16" s="79">
        <f>SUM(AF5:AG15)</f>
        <v>183</v>
      </c>
      <c r="AG16" s="81"/>
      <c r="AH16" s="65"/>
      <c r="AI16" s="53">
        <f t="shared" si="0"/>
        <v>73.7</v>
      </c>
      <c r="AJ16" s="49">
        <f>SUM(AJ5,AJ6,AJ7,AJ8,AJ9,AJ10,AJ11,AJ12,AJ13,AJ14,AJ15)</f>
        <v>2211</v>
      </c>
      <c r="AK16" s="10">
        <f>SUM(AK5,AK6,AK7,AK8,AK9,AK10,AK11,AK12,AK13,AK14,AK15)</f>
        <v>107.59124087591242</v>
      </c>
    </row>
    <row r="17" spans="1:37" ht="18" customHeight="1" x14ac:dyDescent="0.3">
      <c r="A17" s="113" t="s">
        <v>26</v>
      </c>
      <c r="B17" s="113"/>
      <c r="C17" s="114"/>
      <c r="D17" s="115">
        <v>2620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7"/>
      <c r="AJ17" s="118"/>
      <c r="AK17" s="75"/>
    </row>
    <row r="18" spans="1:37" ht="18" customHeight="1" x14ac:dyDescent="0.3">
      <c r="A18" s="108" t="s">
        <v>27</v>
      </c>
      <c r="B18" s="108"/>
      <c r="C18" s="109"/>
      <c r="D18" s="119">
        <f>((AJ3+AJ4+D17)-AJ16)-D17</f>
        <v>-156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8"/>
      <c r="AK18" s="31">
        <f>((AJ3+AJ4-AJ16)/(AJ3+AJ4))*100</f>
        <v>-7.5912408759124084</v>
      </c>
    </row>
    <row r="19" spans="1:37" ht="18" customHeight="1" x14ac:dyDescent="0.3">
      <c r="A19" s="107" t="s">
        <v>28</v>
      </c>
      <c r="B19" s="108"/>
      <c r="C19" s="109"/>
      <c r="D19" s="110">
        <f>(AJ3+AJ4+D17)-AJ16</f>
        <v>2464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  <c r="AK19" s="54"/>
    </row>
    <row r="24" spans="1:37" x14ac:dyDescent="0.3">
      <c r="S24" s="1" t="s">
        <v>11</v>
      </c>
    </row>
  </sheetData>
  <mergeCells count="22">
    <mergeCell ref="D16:J16"/>
    <mergeCell ref="K16:Q16"/>
    <mergeCell ref="R16:X16"/>
    <mergeCell ref="Y16:AE16"/>
    <mergeCell ref="AF16:AG16"/>
    <mergeCell ref="AI1:AI2"/>
    <mergeCell ref="AJ1:AJ2"/>
    <mergeCell ref="AK1:AK2"/>
    <mergeCell ref="A3:B4"/>
    <mergeCell ref="AI3:AI4"/>
    <mergeCell ref="AK3:AK4"/>
    <mergeCell ref="A5:A16"/>
    <mergeCell ref="B5:B11"/>
    <mergeCell ref="B12:B15"/>
    <mergeCell ref="B16:C16"/>
    <mergeCell ref="A1:C2"/>
    <mergeCell ref="A19:C19"/>
    <mergeCell ref="D19:AJ19"/>
    <mergeCell ref="A17:C17"/>
    <mergeCell ref="D17:AJ17"/>
    <mergeCell ref="A18:C18"/>
    <mergeCell ref="D18:AJ1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4"/>
  <sheetViews>
    <sheetView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71093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2"/>
      <c r="B1" s="82"/>
      <c r="C1" s="83"/>
      <c r="D1" s="37" t="s">
        <v>7</v>
      </c>
      <c r="E1" s="36" t="s">
        <v>6</v>
      </c>
      <c r="F1" s="36" t="s">
        <v>5</v>
      </c>
      <c r="G1" s="36" t="s">
        <v>4</v>
      </c>
      <c r="H1" s="37" t="s">
        <v>29</v>
      </c>
      <c r="I1" s="56" t="s">
        <v>9</v>
      </c>
      <c r="J1" s="36" t="s">
        <v>8</v>
      </c>
      <c r="K1" s="37" t="s">
        <v>7</v>
      </c>
      <c r="L1" s="36" t="s">
        <v>6</v>
      </c>
      <c r="M1" s="36" t="s">
        <v>5</v>
      </c>
      <c r="N1" s="36" t="s">
        <v>4</v>
      </c>
      <c r="O1" s="37" t="s">
        <v>29</v>
      </c>
      <c r="P1" s="56" t="s">
        <v>9</v>
      </c>
      <c r="Q1" s="36" t="s">
        <v>8</v>
      </c>
      <c r="R1" s="37" t="s">
        <v>7</v>
      </c>
      <c r="S1" s="36" t="s">
        <v>6</v>
      </c>
      <c r="T1" s="36" t="s">
        <v>5</v>
      </c>
      <c r="U1" s="36" t="s">
        <v>4</v>
      </c>
      <c r="V1" s="37" t="s">
        <v>29</v>
      </c>
      <c r="W1" s="56" t="s">
        <v>9</v>
      </c>
      <c r="X1" s="36" t="s">
        <v>8</v>
      </c>
      <c r="Y1" s="37" t="s">
        <v>7</v>
      </c>
      <c r="Z1" s="36" t="s">
        <v>6</v>
      </c>
      <c r="AA1" s="36" t="s">
        <v>5</v>
      </c>
      <c r="AB1" s="36" t="s">
        <v>4</v>
      </c>
      <c r="AC1" s="37" t="s">
        <v>29</v>
      </c>
      <c r="AD1" s="56" t="s">
        <v>9</v>
      </c>
      <c r="AE1" s="36" t="s">
        <v>8</v>
      </c>
      <c r="AF1" s="37" t="s">
        <v>7</v>
      </c>
      <c r="AG1" s="36" t="s">
        <v>6</v>
      </c>
      <c r="AH1" s="36" t="s">
        <v>5</v>
      </c>
      <c r="AI1" s="86" t="s">
        <v>30</v>
      </c>
      <c r="AJ1" s="95" t="s">
        <v>31</v>
      </c>
      <c r="AK1" s="97" t="s">
        <v>10</v>
      </c>
    </row>
    <row r="2" spans="1:37" ht="18.95" customHeight="1" x14ac:dyDescent="0.3">
      <c r="A2" s="84"/>
      <c r="B2" s="84"/>
      <c r="C2" s="85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87"/>
      <c r="AJ2" s="96"/>
      <c r="AK2" s="98"/>
    </row>
    <row r="3" spans="1:37" ht="18.95" customHeight="1" x14ac:dyDescent="0.3">
      <c r="A3" s="99" t="s">
        <v>12</v>
      </c>
      <c r="B3" s="100"/>
      <c r="C3" s="58" t="s">
        <v>0</v>
      </c>
      <c r="D3" s="14"/>
      <c r="E3" s="15"/>
      <c r="F3" s="15"/>
      <c r="G3" s="15"/>
      <c r="H3" s="15"/>
      <c r="I3" s="18"/>
      <c r="J3" s="16"/>
      <c r="K3" s="15"/>
      <c r="L3" s="15">
        <v>349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>
        <v>3489</v>
      </c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3">
        <f>AJ3/30</f>
        <v>127.93333333333334</v>
      </c>
      <c r="AJ3" s="48">
        <f>SUM(D3:AH3)</f>
        <v>3838</v>
      </c>
      <c r="AK3" s="105">
        <v>100</v>
      </c>
    </row>
    <row r="4" spans="1:37" ht="18.95" customHeight="1" x14ac:dyDescent="0.3">
      <c r="A4" s="101"/>
      <c r="B4" s="102"/>
      <c r="C4" s="59" t="s">
        <v>13</v>
      </c>
      <c r="D4" s="18"/>
      <c r="E4" s="18"/>
      <c r="F4" s="18"/>
      <c r="G4" s="18"/>
      <c r="H4" s="18">
        <v>10</v>
      </c>
      <c r="I4" s="18"/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>
        <v>50</v>
      </c>
      <c r="AB4" s="18"/>
      <c r="AC4" s="20"/>
      <c r="AD4" s="18"/>
      <c r="AE4" s="19"/>
      <c r="AF4" s="18"/>
      <c r="AG4" s="19"/>
      <c r="AH4" s="18"/>
      <c r="AI4" s="104"/>
      <c r="AJ4" s="48">
        <f>SUM(D4:AH4)</f>
        <v>60</v>
      </c>
      <c r="AK4" s="106"/>
    </row>
    <row r="5" spans="1:37" ht="18.95" customHeight="1" x14ac:dyDescent="0.3">
      <c r="A5" s="88" t="s">
        <v>14</v>
      </c>
      <c r="B5" s="91" t="s">
        <v>15</v>
      </c>
      <c r="C5" s="60" t="s">
        <v>16</v>
      </c>
      <c r="D5" s="21">
        <v>86</v>
      </c>
      <c r="E5" s="2"/>
      <c r="F5" s="2">
        <v>25</v>
      </c>
      <c r="G5" s="2">
        <v>52</v>
      </c>
      <c r="H5" s="2">
        <v>9</v>
      </c>
      <c r="I5" s="2">
        <v>56</v>
      </c>
      <c r="J5" s="22">
        <v>7</v>
      </c>
      <c r="K5" s="2">
        <v>10</v>
      </c>
      <c r="L5" s="2">
        <v>15</v>
      </c>
      <c r="M5" s="2"/>
      <c r="N5" s="2"/>
      <c r="O5" s="2"/>
      <c r="P5" s="2">
        <v>46</v>
      </c>
      <c r="Q5" s="2">
        <v>20</v>
      </c>
      <c r="R5" s="2">
        <v>52</v>
      </c>
      <c r="S5" s="2">
        <v>78</v>
      </c>
      <c r="T5" s="2"/>
      <c r="U5" s="2">
        <v>66</v>
      </c>
      <c r="V5" s="2"/>
      <c r="W5" s="2">
        <v>3</v>
      </c>
      <c r="X5" s="2">
        <v>8</v>
      </c>
      <c r="Y5" s="2">
        <v>24</v>
      </c>
      <c r="Z5" s="2"/>
      <c r="AA5" s="2"/>
      <c r="AB5" s="2">
        <v>70</v>
      </c>
      <c r="AC5" s="21"/>
      <c r="AD5" s="2"/>
      <c r="AE5" s="23"/>
      <c r="AF5" s="2">
        <v>19</v>
      </c>
      <c r="AG5" s="23">
        <v>56</v>
      </c>
      <c r="AH5" s="2">
        <v>5</v>
      </c>
      <c r="AI5" s="43">
        <f t="shared" ref="AI5:AI16" si="0">AJ5/30</f>
        <v>23.566666666666666</v>
      </c>
      <c r="AJ5" s="32">
        <f>SUM(D5,E5,F5,G5,H5,I5,J5,K5,L5,M5,N5,O5,P5,Q5,R5,S5,T5,U5,V5,W5,X5,Y5,Z5,AA5,AB5,AC5,AD5,AE5,AF5,AG5,AH5)</f>
        <v>707</v>
      </c>
      <c r="AK5" s="3">
        <f>(AJ5/(AJ3+AJ4))*100</f>
        <v>18.137506413545406</v>
      </c>
    </row>
    <row r="6" spans="1:37" ht="18.95" customHeight="1" x14ac:dyDescent="0.3">
      <c r="A6" s="89"/>
      <c r="B6" s="91"/>
      <c r="C6" s="61" t="s">
        <v>17</v>
      </c>
      <c r="D6" s="4">
        <v>12</v>
      </c>
      <c r="E6" s="4">
        <v>6</v>
      </c>
      <c r="F6" s="4">
        <v>6</v>
      </c>
      <c r="G6" s="4">
        <v>9</v>
      </c>
      <c r="H6" s="4">
        <v>9</v>
      </c>
      <c r="I6" s="4">
        <v>18</v>
      </c>
      <c r="J6" s="24">
        <v>15</v>
      </c>
      <c r="K6" s="4">
        <v>85</v>
      </c>
      <c r="L6" s="4">
        <v>33</v>
      </c>
      <c r="M6" s="4"/>
      <c r="N6" s="4">
        <v>10</v>
      </c>
      <c r="O6" s="4">
        <v>12</v>
      </c>
      <c r="P6" s="4">
        <v>12</v>
      </c>
      <c r="Q6" s="4">
        <v>13</v>
      </c>
      <c r="R6" s="4">
        <v>33</v>
      </c>
      <c r="S6" s="4">
        <v>6</v>
      </c>
      <c r="T6" s="4">
        <v>7</v>
      </c>
      <c r="U6" s="4">
        <v>3</v>
      </c>
      <c r="V6" s="4">
        <v>7</v>
      </c>
      <c r="W6" s="4">
        <v>6</v>
      </c>
      <c r="X6" s="4">
        <v>10</v>
      </c>
      <c r="Y6" s="4">
        <v>6</v>
      </c>
      <c r="Z6" s="4">
        <v>33</v>
      </c>
      <c r="AA6" s="4"/>
      <c r="AB6" s="4">
        <v>39</v>
      </c>
      <c r="AC6" s="25">
        <v>6</v>
      </c>
      <c r="AD6" s="4">
        <v>23</v>
      </c>
      <c r="AE6" s="24">
        <v>3</v>
      </c>
      <c r="AF6" s="4">
        <v>6</v>
      </c>
      <c r="AG6" s="24">
        <v>6</v>
      </c>
      <c r="AH6" s="4"/>
      <c r="AI6" s="44">
        <f t="shared" si="0"/>
        <v>14.466666666666667</v>
      </c>
      <c r="AJ6" s="33">
        <f>SUM(D6,E6,F6,G6,H6,I6,J6,K6,L6,M6,N6,O6,P6,Q6,R6,S6,T6,U6,V6,W6,X6,Y6,Z6,AA6,AB6,AC6,AD6,AE6,AF6,AG6,AH6)</f>
        <v>434</v>
      </c>
      <c r="AK6" s="5">
        <f>(AJ6/(AJ3+AJ4))*100</f>
        <v>11.133914828116984</v>
      </c>
    </row>
    <row r="7" spans="1:37" ht="18.95" customHeight="1" x14ac:dyDescent="0.3">
      <c r="A7" s="89"/>
      <c r="B7" s="91"/>
      <c r="C7" s="61" t="s">
        <v>18</v>
      </c>
      <c r="D7" s="25">
        <v>11</v>
      </c>
      <c r="E7" s="4">
        <v>25</v>
      </c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>
        <v>39</v>
      </c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2.5</v>
      </c>
      <c r="AJ7" s="33">
        <f>SUM(D7,E7,F7,G7,H7,I7,J7,K7,L7,M7,N7,O7,P7,Q7,R7,S7,T7,U7,V7,W7,X7,Y7,Z7,AA7,AB7,AC7,AD7,AE7,AF7,AG7,AH7)</f>
        <v>75</v>
      </c>
      <c r="AK7" s="5">
        <f>(AJ7/(AJ3+AJ4))*100</f>
        <v>1.9240636223704464</v>
      </c>
    </row>
    <row r="8" spans="1:37" ht="18.95" customHeight="1" x14ac:dyDescent="0.3">
      <c r="A8" s="89"/>
      <c r="B8" s="91"/>
      <c r="C8" s="62" t="s">
        <v>19</v>
      </c>
      <c r="D8" s="38">
        <v>2</v>
      </c>
      <c r="E8" s="39"/>
      <c r="F8" s="39">
        <v>10</v>
      </c>
      <c r="G8" s="39"/>
      <c r="H8" s="39">
        <v>12</v>
      </c>
      <c r="I8" s="39">
        <v>2</v>
      </c>
      <c r="J8" s="40"/>
      <c r="K8" s="39"/>
      <c r="L8" s="39"/>
      <c r="M8" s="39"/>
      <c r="N8" s="39"/>
      <c r="O8" s="39"/>
      <c r="P8" s="39">
        <v>5</v>
      </c>
      <c r="Q8" s="39"/>
      <c r="R8" s="39">
        <v>2</v>
      </c>
      <c r="S8" s="39"/>
      <c r="T8" s="39"/>
      <c r="U8" s="39"/>
      <c r="V8" s="39"/>
      <c r="W8" s="39"/>
      <c r="X8" s="39"/>
      <c r="Y8" s="39"/>
      <c r="Z8" s="39"/>
      <c r="AA8" s="39"/>
      <c r="AB8" s="39">
        <v>10</v>
      </c>
      <c r="AC8" s="38">
        <v>60</v>
      </c>
      <c r="AD8" s="39"/>
      <c r="AE8" s="40">
        <v>28</v>
      </c>
      <c r="AF8" s="39">
        <v>10</v>
      </c>
      <c r="AG8" s="40">
        <v>1</v>
      </c>
      <c r="AH8" s="39">
        <v>5</v>
      </c>
      <c r="AI8" s="47">
        <f t="shared" si="0"/>
        <v>4.9000000000000004</v>
      </c>
      <c r="AJ8" s="41">
        <f>SUM(D8,E8,F8,G8,H8,I8,J8,K8,L8,M8,N8,O8,P8,Q8,R8,S8,T8,U8,V8,W8,X8,Y8,Z8,AA8,AB8,AC8,AD8,AE8,AF8,AG8,AH8)</f>
        <v>147</v>
      </c>
      <c r="AK8" s="42">
        <f>(AJ8/(AJ3+AJ4))*100</f>
        <v>3.7711646998460746</v>
      </c>
    </row>
    <row r="9" spans="1:37" ht="18.95" customHeight="1" x14ac:dyDescent="0.3">
      <c r="A9" s="89"/>
      <c r="B9" s="91"/>
      <c r="C9" s="60" t="s">
        <v>1</v>
      </c>
      <c r="D9" s="21"/>
      <c r="E9" s="2"/>
      <c r="F9" s="2">
        <v>196</v>
      </c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>
        <v>100</v>
      </c>
      <c r="AE9" s="23"/>
      <c r="AF9" s="2"/>
      <c r="AG9" s="23"/>
      <c r="AH9" s="2"/>
      <c r="AI9" s="43">
        <f t="shared" si="0"/>
        <v>9.8666666666666671</v>
      </c>
      <c r="AJ9" s="32">
        <f>SUM(D9,E9,F9,G9,H9,I9,J9,K9,L9,M9,N9,O9,P9,Q9,R9,S9,T9,U9,V9,W9,X9,Y9,Z9,AA9,AB9,AC9,AD9,AE9,AF9,AG9,AH9)</f>
        <v>296</v>
      </c>
      <c r="AK9" s="3">
        <f>(AJ9/(AJ3+AJ4))*100</f>
        <v>7.5936377629553613</v>
      </c>
    </row>
    <row r="10" spans="1:37" ht="18.95" customHeight="1" x14ac:dyDescent="0.3">
      <c r="A10" s="89"/>
      <c r="B10" s="91"/>
      <c r="C10" s="61" t="s">
        <v>20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9"/>
      <c r="B11" s="91"/>
      <c r="C11" s="61" t="s">
        <v>21</v>
      </c>
      <c r="D11" s="21"/>
      <c r="E11" s="2"/>
      <c r="F11" s="2">
        <v>6</v>
      </c>
      <c r="G11" s="2">
        <v>1</v>
      </c>
      <c r="H11" s="2"/>
      <c r="I11" s="2">
        <v>2</v>
      </c>
      <c r="J11" s="22">
        <v>5</v>
      </c>
      <c r="K11" s="2"/>
      <c r="L11" s="2"/>
      <c r="M11" s="2"/>
      <c r="N11" s="2">
        <v>2</v>
      </c>
      <c r="O11" s="2">
        <v>1</v>
      </c>
      <c r="P11" s="2"/>
      <c r="Q11" s="2"/>
      <c r="R11" s="2">
        <v>13</v>
      </c>
      <c r="S11" s="2"/>
      <c r="T11" s="2"/>
      <c r="U11" s="2">
        <v>5</v>
      </c>
      <c r="V11" s="2"/>
      <c r="W11" s="2">
        <v>1</v>
      </c>
      <c r="X11" s="2">
        <v>1</v>
      </c>
      <c r="Y11" s="2"/>
      <c r="Z11" s="2"/>
      <c r="AA11" s="2"/>
      <c r="AB11" s="2">
        <v>27</v>
      </c>
      <c r="AC11" s="21"/>
      <c r="AD11" s="2"/>
      <c r="AE11" s="23">
        <v>2</v>
      </c>
      <c r="AF11" s="2">
        <v>3</v>
      </c>
      <c r="AG11" s="23"/>
      <c r="AH11" s="2">
        <v>42</v>
      </c>
      <c r="AI11" s="43">
        <f t="shared" si="0"/>
        <v>3.7</v>
      </c>
      <c r="AJ11" s="32">
        <f>SUM(D11,E11,F11,G11,H11,I11,J11,K11,L11,M11,N11,O11,P11,Q11,R11,S11,T11,U11,V11,W11,X11,Y11,Z11,AA11,AB11,AC11,AD11,AE11,AF11,AG11,AH11)</f>
        <v>111</v>
      </c>
      <c r="AK11" s="3">
        <f>(AJ11/(AJ3+AJ4))*100</f>
        <v>2.8476141611082606</v>
      </c>
    </row>
    <row r="12" spans="1:37" ht="18.95" customHeight="1" x14ac:dyDescent="0.3">
      <c r="A12" s="89"/>
      <c r="B12" s="92" t="s">
        <v>22</v>
      </c>
      <c r="C12" s="63" t="s">
        <v>2</v>
      </c>
      <c r="D12" s="6"/>
      <c r="E12" s="6"/>
      <c r="F12" s="6"/>
      <c r="G12" s="6">
        <v>20</v>
      </c>
      <c r="H12" s="6"/>
      <c r="I12" s="6"/>
      <c r="J12" s="26"/>
      <c r="K12" s="6"/>
      <c r="L12" s="6"/>
      <c r="M12" s="6"/>
      <c r="N12" s="6"/>
      <c r="O12" s="6">
        <v>9</v>
      </c>
      <c r="P12" s="6">
        <v>70</v>
      </c>
      <c r="Q12" s="6"/>
      <c r="R12" s="6"/>
      <c r="S12" s="6"/>
      <c r="T12" s="6"/>
      <c r="U12" s="6">
        <v>35</v>
      </c>
      <c r="V12" s="6"/>
      <c r="W12" s="6"/>
      <c r="X12" s="6"/>
      <c r="Y12" s="6"/>
      <c r="Z12" s="6"/>
      <c r="AA12" s="6"/>
      <c r="AB12" s="6"/>
      <c r="AC12" s="27"/>
      <c r="AD12" s="6">
        <v>40</v>
      </c>
      <c r="AE12" s="26"/>
      <c r="AF12" s="6"/>
      <c r="AG12" s="26"/>
      <c r="AH12" s="6"/>
      <c r="AI12" s="45">
        <f t="shared" si="0"/>
        <v>5.8</v>
      </c>
      <c r="AJ12" s="34">
        <f>SUM(D12,E12,F12,G12,H12,I12,J12,K12,L12,M12,N12,O12,P12,Q12,R12,S12,T12,U12,V12,W12,X12,Y12,Z12,AA12,AB12,AC12,AD12,AE12,AF12,AG12,AH12)</f>
        <v>174</v>
      </c>
      <c r="AK12" s="7">
        <f>(AJ12/(AJ3+AJ4))*100</f>
        <v>4.4638276038994356</v>
      </c>
    </row>
    <row r="13" spans="1:37" ht="18.95" customHeight="1" x14ac:dyDescent="0.3">
      <c r="A13" s="89"/>
      <c r="B13" s="93"/>
      <c r="C13" s="63" t="s">
        <v>32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>
        <v>33</v>
      </c>
      <c r="Q13" s="8"/>
      <c r="R13" s="8"/>
      <c r="S13" s="8"/>
      <c r="T13" s="8"/>
      <c r="U13" s="8">
        <v>10</v>
      </c>
      <c r="V13" s="8"/>
      <c r="W13" s="8"/>
      <c r="X13" s="8"/>
      <c r="Y13" s="8"/>
      <c r="Z13" s="8"/>
      <c r="AA13" s="8"/>
      <c r="AB13" s="8"/>
      <c r="AC13" s="28"/>
      <c r="AD13" s="8">
        <v>22</v>
      </c>
      <c r="AE13" s="30"/>
      <c r="AF13" s="8"/>
      <c r="AG13" s="30"/>
      <c r="AH13" s="8"/>
      <c r="AI13" s="46">
        <f t="shared" si="0"/>
        <v>2.1666666666666665</v>
      </c>
      <c r="AJ13" s="35">
        <f t="shared" si="1"/>
        <v>65</v>
      </c>
      <c r="AK13" s="9">
        <f>(AJ13/(AJ3+AJ4))*100</f>
        <v>1.6675218060543866</v>
      </c>
    </row>
    <row r="14" spans="1:37" ht="18.95" customHeight="1" x14ac:dyDescent="0.3">
      <c r="A14" s="89"/>
      <c r="B14" s="93"/>
      <c r="C14" s="57" t="s">
        <v>23</v>
      </c>
      <c r="D14" s="6"/>
      <c r="E14" s="6"/>
      <c r="F14" s="6"/>
      <c r="G14" s="6">
        <v>80</v>
      </c>
      <c r="H14" s="6">
        <v>3</v>
      </c>
      <c r="I14" s="6"/>
      <c r="J14" s="26"/>
      <c r="K14" s="6"/>
      <c r="L14" s="6"/>
      <c r="M14" s="6"/>
      <c r="N14" s="6"/>
      <c r="O14" s="6"/>
      <c r="P14" s="6">
        <v>53</v>
      </c>
      <c r="Q14" s="6"/>
      <c r="R14" s="6">
        <v>12</v>
      </c>
      <c r="S14" s="6">
        <v>3</v>
      </c>
      <c r="T14" s="6">
        <v>4</v>
      </c>
      <c r="U14" s="6">
        <v>42</v>
      </c>
      <c r="V14" s="6">
        <v>94</v>
      </c>
      <c r="W14" s="6"/>
      <c r="X14" s="6"/>
      <c r="Y14" s="6"/>
      <c r="Z14" s="6"/>
      <c r="AA14" s="6"/>
      <c r="AB14" s="6">
        <v>73</v>
      </c>
      <c r="AC14" s="27">
        <v>3</v>
      </c>
      <c r="AD14" s="6"/>
      <c r="AE14" s="26"/>
      <c r="AF14" s="6"/>
      <c r="AG14" s="26">
        <v>67</v>
      </c>
      <c r="AH14" s="6"/>
      <c r="AI14" s="45">
        <f t="shared" si="0"/>
        <v>14.466666666666667</v>
      </c>
      <c r="AJ14" s="34">
        <f t="shared" si="1"/>
        <v>434</v>
      </c>
      <c r="AK14" s="7">
        <f>(AJ14/(AJ3+AJ4))*100</f>
        <v>11.133914828116984</v>
      </c>
    </row>
    <row r="15" spans="1:37" ht="18.95" customHeight="1" x14ac:dyDescent="0.3">
      <c r="A15" s="89"/>
      <c r="B15" s="94"/>
      <c r="C15" s="63" t="s">
        <v>24</v>
      </c>
      <c r="D15" s="51"/>
      <c r="E15" s="51"/>
      <c r="F15" s="51"/>
      <c r="G15" s="51"/>
      <c r="H15" s="51"/>
      <c r="I15" s="51"/>
      <c r="J15" s="50"/>
      <c r="K15" s="51"/>
      <c r="L15" s="51"/>
      <c r="M15" s="51">
        <v>10</v>
      </c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2"/>
      <c r="AD15" s="51"/>
      <c r="AE15" s="50"/>
      <c r="AF15" s="51"/>
      <c r="AG15" s="50"/>
      <c r="AH15" s="51"/>
      <c r="AI15" s="45">
        <f t="shared" si="0"/>
        <v>0.33333333333333331</v>
      </c>
      <c r="AJ15" s="34">
        <f>SUM(D15,E15,F15,G15,H15,I15,J15,K15,L15,M15,N15,O15,P15,Q15,R15,S15,T15,U15,V15,W15,X15,Y15,Z15,AA15,AB15,AC15,AD15,AE15,AF15,AG15,AH15)</f>
        <v>10</v>
      </c>
      <c r="AK15" s="7">
        <f>(AJ15/(AJ3+AJ4))*100</f>
        <v>0.25654181631605949</v>
      </c>
    </row>
    <row r="16" spans="1:37" ht="18.399999999999999" customHeight="1" x14ac:dyDescent="0.3">
      <c r="A16" s="90"/>
      <c r="B16" s="79" t="s">
        <v>25</v>
      </c>
      <c r="C16" s="80"/>
      <c r="D16" s="79">
        <f>SUM(D5:H15)+183</f>
        <v>763</v>
      </c>
      <c r="E16" s="80"/>
      <c r="F16" s="80"/>
      <c r="G16" s="80"/>
      <c r="H16" s="81"/>
      <c r="I16" s="79">
        <f>SUM(I5:O15)</f>
        <v>292</v>
      </c>
      <c r="J16" s="80"/>
      <c r="K16" s="80"/>
      <c r="L16" s="80"/>
      <c r="M16" s="80"/>
      <c r="N16" s="80"/>
      <c r="O16" s="81"/>
      <c r="P16" s="79">
        <f>SUM(P5:V15)</f>
        <v>724</v>
      </c>
      <c r="Q16" s="80"/>
      <c r="R16" s="80"/>
      <c r="S16" s="80"/>
      <c r="T16" s="80"/>
      <c r="U16" s="80"/>
      <c r="V16" s="81"/>
      <c r="W16" s="79">
        <f>SUM(W5:AC15)</f>
        <v>419</v>
      </c>
      <c r="X16" s="80"/>
      <c r="Y16" s="80"/>
      <c r="Z16" s="80"/>
      <c r="AA16" s="80"/>
      <c r="AB16" s="80"/>
      <c r="AC16" s="81"/>
      <c r="AD16" s="79">
        <f>SUM(AD5:AH15)</f>
        <v>438</v>
      </c>
      <c r="AE16" s="80"/>
      <c r="AF16" s="80"/>
      <c r="AG16" s="80"/>
      <c r="AH16" s="81"/>
      <c r="AI16" s="53">
        <f t="shared" si="0"/>
        <v>81.766666666666666</v>
      </c>
      <c r="AJ16" s="49">
        <f>SUM(AJ5,AJ6,AJ7,AJ8,AJ9,AJ10,AJ11,AJ12,AJ13,AJ14,AJ15)</f>
        <v>2453</v>
      </c>
      <c r="AK16" s="10">
        <f>SUM(AK5,AK6,AK7,AK8,AK9,AK10,AK11,AK12,AK13,AK14,AK15)</f>
        <v>62.929707542329403</v>
      </c>
    </row>
    <row r="17" spans="1:37" ht="18" customHeight="1" x14ac:dyDescent="0.3">
      <c r="A17" s="113" t="s">
        <v>26</v>
      </c>
      <c r="B17" s="113"/>
      <c r="C17" s="114"/>
      <c r="D17" s="115">
        <v>2464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7"/>
      <c r="AJ17" s="118"/>
      <c r="AK17" s="76"/>
    </row>
    <row r="18" spans="1:37" ht="18" customHeight="1" x14ac:dyDescent="0.3">
      <c r="A18" s="108" t="s">
        <v>27</v>
      </c>
      <c r="B18" s="108"/>
      <c r="C18" s="109"/>
      <c r="D18" s="119">
        <f>((AJ3+AJ4+D17)-AJ16)-D17</f>
        <v>1445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8"/>
      <c r="AK18" s="31">
        <f>((AJ3+AJ4-AJ16)/(AJ3+AJ4))*100</f>
        <v>37.070292457670604</v>
      </c>
    </row>
    <row r="19" spans="1:37" ht="18" customHeight="1" x14ac:dyDescent="0.3">
      <c r="A19" s="107" t="s">
        <v>28</v>
      </c>
      <c r="B19" s="108"/>
      <c r="C19" s="109"/>
      <c r="D19" s="110">
        <f>(AJ3+AJ4+D17)-AJ16</f>
        <v>3909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  <c r="AK19" s="54"/>
    </row>
    <row r="24" spans="1:37" x14ac:dyDescent="0.3">
      <c r="S24" s="1" t="s">
        <v>11</v>
      </c>
    </row>
  </sheetData>
  <mergeCells count="22">
    <mergeCell ref="A19:C19"/>
    <mergeCell ref="D19:AJ19"/>
    <mergeCell ref="D16:H16"/>
    <mergeCell ref="I16:O16"/>
    <mergeCell ref="P16:V16"/>
    <mergeCell ref="W16:AC16"/>
    <mergeCell ref="AD16:AH16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24"/>
  <sheetViews>
    <sheetView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285156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2"/>
      <c r="B1" s="82"/>
      <c r="C1" s="83"/>
      <c r="D1" s="36" t="s">
        <v>4</v>
      </c>
      <c r="E1" s="37" t="s">
        <v>3</v>
      </c>
      <c r="F1" s="56" t="s">
        <v>9</v>
      </c>
      <c r="G1" s="36" t="s">
        <v>8</v>
      </c>
      <c r="H1" s="37" t="s">
        <v>7</v>
      </c>
      <c r="I1" s="36" t="s">
        <v>6</v>
      </c>
      <c r="J1" s="36" t="s">
        <v>5</v>
      </c>
      <c r="K1" s="36" t="s">
        <v>4</v>
      </c>
      <c r="L1" s="37" t="s">
        <v>29</v>
      </c>
      <c r="M1" s="56" t="s">
        <v>9</v>
      </c>
      <c r="N1" s="36" t="s">
        <v>8</v>
      </c>
      <c r="O1" s="37" t="s">
        <v>7</v>
      </c>
      <c r="P1" s="36" t="s">
        <v>6</v>
      </c>
      <c r="Q1" s="36" t="s">
        <v>5</v>
      </c>
      <c r="R1" s="36" t="s">
        <v>4</v>
      </c>
      <c r="S1" s="37" t="s">
        <v>29</v>
      </c>
      <c r="T1" s="56" t="s">
        <v>9</v>
      </c>
      <c r="U1" s="36" t="s">
        <v>8</v>
      </c>
      <c r="V1" s="37" t="s">
        <v>7</v>
      </c>
      <c r="W1" s="36" t="s">
        <v>6</v>
      </c>
      <c r="X1" s="36" t="s">
        <v>5</v>
      </c>
      <c r="Y1" s="36" t="s">
        <v>4</v>
      </c>
      <c r="Z1" s="37" t="s">
        <v>29</v>
      </c>
      <c r="AA1" s="56" t="s">
        <v>9</v>
      </c>
      <c r="AB1" s="36" t="s">
        <v>8</v>
      </c>
      <c r="AC1" s="37" t="s">
        <v>7</v>
      </c>
      <c r="AD1" s="36" t="s">
        <v>6</v>
      </c>
      <c r="AE1" s="36" t="s">
        <v>5</v>
      </c>
      <c r="AF1" s="36" t="s">
        <v>4</v>
      </c>
      <c r="AG1" s="37" t="s">
        <v>29</v>
      </c>
      <c r="AH1" s="56"/>
      <c r="AI1" s="86" t="s">
        <v>30</v>
      </c>
      <c r="AJ1" s="95" t="s">
        <v>31</v>
      </c>
      <c r="AK1" s="97" t="s">
        <v>10</v>
      </c>
    </row>
    <row r="2" spans="1:37" ht="18.95" customHeight="1" x14ac:dyDescent="0.3">
      <c r="A2" s="84"/>
      <c r="B2" s="84"/>
      <c r="C2" s="85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87"/>
      <c r="AJ2" s="96"/>
      <c r="AK2" s="98"/>
    </row>
    <row r="3" spans="1:37" ht="18.95" customHeight="1" x14ac:dyDescent="0.3">
      <c r="A3" s="99" t="s">
        <v>12</v>
      </c>
      <c r="B3" s="100"/>
      <c r="C3" s="58" t="s">
        <v>0</v>
      </c>
      <c r="D3" s="14"/>
      <c r="E3" s="15"/>
      <c r="F3" s="15"/>
      <c r="G3" s="15"/>
      <c r="H3" s="15"/>
      <c r="I3" s="18"/>
      <c r="J3" s="16"/>
      <c r="K3" s="15"/>
      <c r="L3" s="15"/>
      <c r="M3" s="15"/>
      <c r="N3" s="15">
        <v>1047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3">
        <f>AJ3/30</f>
        <v>34.9</v>
      </c>
      <c r="AJ3" s="48">
        <f>SUM(D3:AH3)</f>
        <v>1047</v>
      </c>
      <c r="AK3" s="105">
        <v>100</v>
      </c>
    </row>
    <row r="4" spans="1:37" ht="18.95" customHeight="1" x14ac:dyDescent="0.3">
      <c r="A4" s="101"/>
      <c r="B4" s="102"/>
      <c r="C4" s="59" t="s">
        <v>13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>
        <v>100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104"/>
      <c r="AJ4" s="48">
        <f>SUM(D4:AH4)</f>
        <v>100</v>
      </c>
      <c r="AK4" s="106"/>
    </row>
    <row r="5" spans="1:37" ht="18.95" customHeight="1" x14ac:dyDescent="0.3">
      <c r="A5" s="88" t="s">
        <v>14</v>
      </c>
      <c r="B5" s="91" t="s">
        <v>15</v>
      </c>
      <c r="C5" s="60" t="s">
        <v>16</v>
      </c>
      <c r="D5" s="21"/>
      <c r="E5" s="2"/>
      <c r="F5" s="2">
        <v>19</v>
      </c>
      <c r="G5" s="2">
        <v>163</v>
      </c>
      <c r="H5" s="2"/>
      <c r="I5" s="2">
        <v>78</v>
      </c>
      <c r="J5" s="22"/>
      <c r="K5" s="2">
        <v>19</v>
      </c>
      <c r="L5" s="2"/>
      <c r="M5" s="2"/>
      <c r="N5" s="2"/>
      <c r="O5" s="2"/>
      <c r="P5" s="2"/>
      <c r="Q5" s="2">
        <v>6</v>
      </c>
      <c r="R5" s="2"/>
      <c r="S5" s="2"/>
      <c r="T5" s="2">
        <v>7</v>
      </c>
      <c r="U5" s="2">
        <v>60</v>
      </c>
      <c r="V5" s="2"/>
      <c r="W5" s="2">
        <v>21</v>
      </c>
      <c r="X5" s="2">
        <v>22</v>
      </c>
      <c r="Y5" s="2"/>
      <c r="Z5" s="2">
        <v>15</v>
      </c>
      <c r="AA5" s="2">
        <v>97</v>
      </c>
      <c r="AB5" s="2">
        <v>14</v>
      </c>
      <c r="AC5" s="21">
        <v>9</v>
      </c>
      <c r="AD5" s="2"/>
      <c r="AE5" s="23"/>
      <c r="AF5" s="2"/>
      <c r="AG5" s="23">
        <v>12</v>
      </c>
      <c r="AH5" s="2"/>
      <c r="AI5" s="43">
        <f t="shared" ref="AI5:AI16" si="0">AJ5/30</f>
        <v>18.066666666666666</v>
      </c>
      <c r="AJ5" s="32">
        <f>SUM(D5,E5,F5,G5,H5,I5,J5,K5,L5,M5,N5,O5,P5,Q5,R5,S5,T5,U5,V5,W5,X5,Y5,Z5,AA5,AB5,AC5,AD5,AE5,AF5,AG5,AH5)</f>
        <v>542</v>
      </c>
      <c r="AK5" s="3">
        <f>(AJ5/(AJ3+AJ4))*100</f>
        <v>47.253705318221442</v>
      </c>
    </row>
    <row r="6" spans="1:37" ht="18.95" customHeight="1" x14ac:dyDescent="0.3">
      <c r="A6" s="89"/>
      <c r="B6" s="91"/>
      <c r="C6" s="61" t="s">
        <v>17</v>
      </c>
      <c r="D6" s="4">
        <v>6</v>
      </c>
      <c r="E6" s="4">
        <v>12</v>
      </c>
      <c r="F6" s="4">
        <v>15</v>
      </c>
      <c r="G6" s="4">
        <v>6</v>
      </c>
      <c r="H6" s="4">
        <v>12</v>
      </c>
      <c r="I6" s="4"/>
      <c r="J6" s="24">
        <v>16</v>
      </c>
      <c r="K6" s="4">
        <v>18</v>
      </c>
      <c r="L6" s="4">
        <v>9</v>
      </c>
      <c r="M6" s="4">
        <v>33</v>
      </c>
      <c r="N6" s="4"/>
      <c r="O6" s="4"/>
      <c r="P6" s="4"/>
      <c r="Q6" s="4">
        <v>43</v>
      </c>
      <c r="R6" s="4">
        <v>9</v>
      </c>
      <c r="S6" s="4">
        <v>9</v>
      </c>
      <c r="T6" s="4">
        <v>15</v>
      </c>
      <c r="U6" s="4">
        <v>12</v>
      </c>
      <c r="V6" s="4">
        <v>6</v>
      </c>
      <c r="W6" s="4">
        <v>9</v>
      </c>
      <c r="X6" s="4">
        <v>12</v>
      </c>
      <c r="Y6" s="4">
        <v>9</v>
      </c>
      <c r="Z6" s="4">
        <v>12</v>
      </c>
      <c r="AA6" s="4">
        <v>3</v>
      </c>
      <c r="AB6" s="4">
        <v>33</v>
      </c>
      <c r="AC6" s="25">
        <v>3</v>
      </c>
      <c r="AD6" s="4">
        <v>42</v>
      </c>
      <c r="AE6" s="24"/>
      <c r="AF6" s="4"/>
      <c r="AG6" s="24">
        <v>39</v>
      </c>
      <c r="AH6" s="4"/>
      <c r="AI6" s="44">
        <f t="shared" si="0"/>
        <v>12.766666666666667</v>
      </c>
      <c r="AJ6" s="33">
        <f>SUM(D6,E6,F6,G6,H6,I6,J6,K6,L6,M6,N6,O6,P6,Q6,R6,S6,T6,U6,V6,W6,X6,Y6,Z6,AA6,AB6,AC6,AD6,AE6,AF6,AG6,AH6)</f>
        <v>383</v>
      </c>
      <c r="AK6" s="5">
        <f>(AJ6/(AJ3+AJ4))*100</f>
        <v>33.391455972101134</v>
      </c>
    </row>
    <row r="7" spans="1:37" ht="18.95" customHeight="1" x14ac:dyDescent="0.3">
      <c r="A7" s="89"/>
      <c r="B7" s="91"/>
      <c r="C7" s="61" t="s">
        <v>18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9"/>
      <c r="B8" s="91"/>
      <c r="C8" s="62" t="s">
        <v>19</v>
      </c>
      <c r="D8" s="38"/>
      <c r="E8" s="39"/>
      <c r="F8" s="39"/>
      <c r="G8" s="39">
        <v>68</v>
      </c>
      <c r="H8" s="39"/>
      <c r="I8" s="39"/>
      <c r="J8" s="40"/>
      <c r="K8" s="39">
        <v>1</v>
      </c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8"/>
      <c r="AD8" s="39"/>
      <c r="AE8" s="40"/>
      <c r="AF8" s="39"/>
      <c r="AG8" s="40"/>
      <c r="AH8" s="39"/>
      <c r="AI8" s="47">
        <f t="shared" si="0"/>
        <v>2.2999999999999998</v>
      </c>
      <c r="AJ8" s="41">
        <f>SUM(D8,E8,F8,G8,H8,I8,J8,K8,L8,M8,N8,O8,P8,Q8,R8,S8,T8,U8,V8,W8,X8,Y8,Z8,AA8,AB8,AC8,AD8,AE8,AF8,AG8,AH8)</f>
        <v>69</v>
      </c>
      <c r="AK8" s="42">
        <f>(AJ8/(AJ3+AJ4))*100</f>
        <v>6.0156931124673063</v>
      </c>
    </row>
    <row r="9" spans="1:37" ht="18.95" customHeight="1" x14ac:dyDescent="0.3">
      <c r="A9" s="89"/>
      <c r="B9" s="91"/>
      <c r="C9" s="60" t="s">
        <v>1</v>
      </c>
      <c r="D9" s="21"/>
      <c r="E9" s="2"/>
      <c r="F9" s="2"/>
      <c r="G9" s="2"/>
      <c r="H9" s="2"/>
      <c r="I9" s="2"/>
      <c r="J9" s="22"/>
      <c r="K9" s="2">
        <v>30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>
        <v>100</v>
      </c>
      <c r="AC9" s="21"/>
      <c r="AD9" s="2"/>
      <c r="AE9" s="23"/>
      <c r="AF9" s="2"/>
      <c r="AG9" s="23"/>
      <c r="AH9" s="2"/>
      <c r="AI9" s="43">
        <f t="shared" si="0"/>
        <v>4.333333333333333</v>
      </c>
      <c r="AJ9" s="32">
        <f>SUM(D9,E9,F9,G9,H9,I9,J9,K9,L9,M9,N9,O9,P9,Q9,R9,S9,T9,U9,V9,W9,X9,Y9,Z9,AA9,AB9,AC9,AD9,AE9,AF9,AG9,AH9)</f>
        <v>130</v>
      </c>
      <c r="AK9" s="3">
        <f>(AJ9/(AJ3+AJ4))*100</f>
        <v>11.333914559721011</v>
      </c>
    </row>
    <row r="10" spans="1:37" ht="18.95" customHeight="1" x14ac:dyDescent="0.3">
      <c r="A10" s="89"/>
      <c r="B10" s="91"/>
      <c r="C10" s="61" t="s">
        <v>20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9"/>
      <c r="B11" s="91"/>
      <c r="C11" s="61" t="s">
        <v>21</v>
      </c>
      <c r="D11" s="21">
        <v>78</v>
      </c>
      <c r="E11" s="2"/>
      <c r="F11" s="2">
        <v>1</v>
      </c>
      <c r="G11" s="2">
        <v>1</v>
      </c>
      <c r="H11" s="2">
        <v>1</v>
      </c>
      <c r="I11" s="2"/>
      <c r="J11" s="22">
        <v>8</v>
      </c>
      <c r="K11" s="2">
        <v>9</v>
      </c>
      <c r="L11" s="2">
        <v>90</v>
      </c>
      <c r="M11" s="2"/>
      <c r="N11" s="2"/>
      <c r="O11" s="2"/>
      <c r="P11" s="2"/>
      <c r="Q11" s="2"/>
      <c r="R11" s="2"/>
      <c r="S11" s="2"/>
      <c r="T11" s="2">
        <v>5</v>
      </c>
      <c r="U11" s="2"/>
      <c r="V11" s="2"/>
      <c r="W11" s="2">
        <v>21</v>
      </c>
      <c r="X11" s="2"/>
      <c r="Y11" s="2">
        <v>3</v>
      </c>
      <c r="Z11" s="2"/>
      <c r="AA11" s="2">
        <v>2</v>
      </c>
      <c r="AB11" s="2"/>
      <c r="AC11" s="21">
        <v>5</v>
      </c>
      <c r="AD11" s="2">
        <v>100</v>
      </c>
      <c r="AE11" s="23"/>
      <c r="AF11" s="2"/>
      <c r="AG11" s="23"/>
      <c r="AH11" s="2"/>
      <c r="AI11" s="43">
        <f t="shared" si="0"/>
        <v>10.8</v>
      </c>
      <c r="AJ11" s="32">
        <f>SUM(D11,E11,F11,G11,H11,I11,J11,K11,L11,M11,N11,O11,P11,Q11,R11,S11,T11,U11,V11,W11,X11,Y11,Z11,AA11,AB11,AC11,AD11,AE11,AF11,AG11,AH11)</f>
        <v>324</v>
      </c>
      <c r="AK11" s="3">
        <f>(AJ11/(AJ3+AJ4))*100</f>
        <v>28.247602441150825</v>
      </c>
    </row>
    <row r="12" spans="1:37" ht="18.95" customHeight="1" x14ac:dyDescent="0.3">
      <c r="A12" s="89"/>
      <c r="B12" s="92" t="s">
        <v>22</v>
      </c>
      <c r="C12" s="63" t="s">
        <v>2</v>
      </c>
      <c r="D12" s="6"/>
      <c r="E12" s="6">
        <v>16</v>
      </c>
      <c r="F12" s="6"/>
      <c r="G12" s="6"/>
      <c r="H12" s="6"/>
      <c r="I12" s="6"/>
      <c r="J12" s="26"/>
      <c r="K12" s="6"/>
      <c r="L12" s="6"/>
      <c r="M12" s="6"/>
      <c r="N12" s="6"/>
      <c r="O12" s="6"/>
      <c r="P12" s="6">
        <v>36</v>
      </c>
      <c r="Q12" s="6"/>
      <c r="R12" s="6"/>
      <c r="S12" s="6"/>
      <c r="T12" s="6"/>
      <c r="U12" s="6"/>
      <c r="V12" s="6"/>
      <c r="W12" s="6"/>
      <c r="X12" s="6"/>
      <c r="Y12" s="6"/>
      <c r="Z12" s="6">
        <v>33</v>
      </c>
      <c r="AA12" s="6"/>
      <c r="AB12" s="6"/>
      <c r="AC12" s="27"/>
      <c r="AD12" s="6"/>
      <c r="AE12" s="26"/>
      <c r="AF12" s="6"/>
      <c r="AG12" s="26"/>
      <c r="AH12" s="6"/>
      <c r="AI12" s="45">
        <f t="shared" si="0"/>
        <v>2.8333333333333335</v>
      </c>
      <c r="AJ12" s="34">
        <f>SUM(D12,E12,F12,G12,H12,I12,J12,K12,L12,M12,N12,O12,P12,Q12,R12,S12,T12,U12,V12,W12,X12,Y12,Z12,AA12,AB12,AC12,AD12,AE12,AF12,AG12,AH12)</f>
        <v>85</v>
      </c>
      <c r="AK12" s="7">
        <f>(AJ12/(AJ3+AJ4))*100</f>
        <v>7.4106364428945071</v>
      </c>
    </row>
    <row r="13" spans="1:37" ht="18.95" customHeight="1" x14ac:dyDescent="0.3">
      <c r="A13" s="89"/>
      <c r="B13" s="93"/>
      <c r="C13" s="63" t="s">
        <v>32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>
        <v>7</v>
      </c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0.23333333333333334</v>
      </c>
      <c r="AJ13" s="35">
        <f t="shared" si="1"/>
        <v>7</v>
      </c>
      <c r="AK13" s="9">
        <f>(AJ13/(AJ3+AJ4))*100</f>
        <v>0.61028770706190061</v>
      </c>
    </row>
    <row r="14" spans="1:37" ht="18.95" customHeight="1" x14ac:dyDescent="0.3">
      <c r="A14" s="89"/>
      <c r="B14" s="93"/>
      <c r="C14" s="57" t="s">
        <v>23</v>
      </c>
      <c r="D14" s="6">
        <v>13</v>
      </c>
      <c r="E14" s="6"/>
      <c r="F14" s="6"/>
      <c r="G14" s="6"/>
      <c r="H14" s="6"/>
      <c r="I14" s="6">
        <v>79</v>
      </c>
      <c r="J14" s="26">
        <v>12</v>
      </c>
      <c r="K14" s="6">
        <v>16</v>
      </c>
      <c r="L14" s="6">
        <v>3</v>
      </c>
      <c r="M14" s="6"/>
      <c r="N14" s="6"/>
      <c r="O14" s="6"/>
      <c r="P14" s="6"/>
      <c r="Q14" s="6">
        <v>3</v>
      </c>
      <c r="R14" s="6">
        <v>36</v>
      </c>
      <c r="S14" s="6">
        <v>3</v>
      </c>
      <c r="T14" s="6"/>
      <c r="U14" s="6">
        <v>66</v>
      </c>
      <c r="V14" s="6">
        <v>3</v>
      </c>
      <c r="W14" s="6"/>
      <c r="X14" s="6">
        <v>21</v>
      </c>
      <c r="Y14" s="6">
        <v>20</v>
      </c>
      <c r="Z14" s="6"/>
      <c r="AA14" s="6"/>
      <c r="AB14" s="6">
        <v>34</v>
      </c>
      <c r="AC14" s="27"/>
      <c r="AD14" s="6">
        <v>6</v>
      </c>
      <c r="AE14" s="26"/>
      <c r="AF14" s="6"/>
      <c r="AG14" s="26"/>
      <c r="AH14" s="6"/>
      <c r="AI14" s="45">
        <f t="shared" si="0"/>
        <v>10.5</v>
      </c>
      <c r="AJ14" s="34">
        <f t="shared" si="1"/>
        <v>315</v>
      </c>
      <c r="AK14" s="7">
        <f>(AJ14/(AJ3+AJ4))*100</f>
        <v>27.462946817785529</v>
      </c>
    </row>
    <row r="15" spans="1:37" ht="18.95" customHeight="1" x14ac:dyDescent="0.3">
      <c r="A15" s="89"/>
      <c r="B15" s="94"/>
      <c r="C15" s="63" t="s">
        <v>24</v>
      </c>
      <c r="D15" s="51"/>
      <c r="E15" s="51"/>
      <c r="F15" s="51"/>
      <c r="G15" s="51"/>
      <c r="H15" s="51"/>
      <c r="I15" s="51"/>
      <c r="J15" s="50"/>
      <c r="K15" s="51"/>
      <c r="L15" s="51"/>
      <c r="M15" s="51"/>
      <c r="N15" s="51"/>
      <c r="O15" s="51"/>
      <c r="P15" s="51">
        <v>50</v>
      </c>
      <c r="Q15" s="51"/>
      <c r="R15" s="51"/>
      <c r="S15" s="51"/>
      <c r="T15" s="51"/>
      <c r="U15" s="51"/>
      <c r="V15" s="51">
        <v>7</v>
      </c>
      <c r="W15" s="51"/>
      <c r="X15" s="51"/>
      <c r="Y15" s="51"/>
      <c r="Z15" s="51"/>
      <c r="AA15" s="51"/>
      <c r="AB15" s="51"/>
      <c r="AC15" s="52"/>
      <c r="AD15" s="51"/>
      <c r="AE15" s="50">
        <v>60</v>
      </c>
      <c r="AF15" s="51"/>
      <c r="AG15" s="50"/>
      <c r="AH15" s="51"/>
      <c r="AI15" s="45">
        <f t="shared" si="0"/>
        <v>3.9</v>
      </c>
      <c r="AJ15" s="34">
        <f>SUM(D15,E15,F15,G15,H15,I15,J15,K15,L15,M15,N15,O15,P15,Q15,R15,S15,T15,U15,V15,W15,X15,Y15,Z15,AA15,AB15,AC15,AD15,AE15,AF15,AG15,AH15)</f>
        <v>117</v>
      </c>
      <c r="AK15" s="7">
        <f>(AJ15/(AJ3+AJ4))*100</f>
        <v>10.20052310374891</v>
      </c>
    </row>
    <row r="16" spans="1:37" ht="18.399999999999999" customHeight="1" x14ac:dyDescent="0.3">
      <c r="A16" s="90"/>
      <c r="B16" s="79" t="s">
        <v>25</v>
      </c>
      <c r="C16" s="80"/>
      <c r="D16" s="79">
        <f>SUM(D5:E15)+438</f>
        <v>563</v>
      </c>
      <c r="E16" s="81"/>
      <c r="F16" s="79">
        <f>SUM(F5:L15)</f>
        <v>674</v>
      </c>
      <c r="G16" s="80"/>
      <c r="H16" s="80"/>
      <c r="I16" s="80"/>
      <c r="J16" s="80"/>
      <c r="K16" s="80"/>
      <c r="L16" s="81"/>
      <c r="M16" s="79">
        <f>SUM(M5:S15)</f>
        <v>228</v>
      </c>
      <c r="N16" s="80"/>
      <c r="O16" s="80"/>
      <c r="P16" s="80"/>
      <c r="Q16" s="80"/>
      <c r="R16" s="80"/>
      <c r="S16" s="81"/>
      <c r="T16" s="79">
        <f>SUM(T5:Z15)</f>
        <v>386</v>
      </c>
      <c r="U16" s="80"/>
      <c r="V16" s="80"/>
      <c r="W16" s="80"/>
      <c r="X16" s="80"/>
      <c r="Y16" s="80"/>
      <c r="Z16" s="81"/>
      <c r="AA16" s="79">
        <f>SUM(AA5:AG15)</f>
        <v>559</v>
      </c>
      <c r="AB16" s="80"/>
      <c r="AC16" s="80"/>
      <c r="AD16" s="80"/>
      <c r="AE16" s="80"/>
      <c r="AF16" s="80"/>
      <c r="AG16" s="81"/>
      <c r="AH16" s="65"/>
      <c r="AI16" s="53">
        <f t="shared" si="0"/>
        <v>65.733333333333334</v>
      </c>
      <c r="AJ16" s="49">
        <f>SUM(AJ5,AJ6,AJ7,AJ8,AJ9,AJ10,AJ11,AJ12,AJ13,AJ14,AJ15)</f>
        <v>1972</v>
      </c>
      <c r="AK16" s="10">
        <f>SUM(AK5,AK6,AK7,AK8,AK9,AK10,AK11,AK12,AK13,AK14,AK15)</f>
        <v>171.92676547515256</v>
      </c>
    </row>
    <row r="17" spans="1:37" ht="18" customHeight="1" x14ac:dyDescent="0.3">
      <c r="A17" s="113" t="s">
        <v>26</v>
      </c>
      <c r="B17" s="113"/>
      <c r="C17" s="114"/>
      <c r="D17" s="115">
        <v>3909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7"/>
      <c r="AJ17" s="118"/>
      <c r="AK17" s="77"/>
    </row>
    <row r="18" spans="1:37" ht="18" customHeight="1" x14ac:dyDescent="0.3">
      <c r="A18" s="108" t="s">
        <v>27</v>
      </c>
      <c r="B18" s="108"/>
      <c r="C18" s="109"/>
      <c r="D18" s="119">
        <f>((AJ3+AJ4+D17)-AJ16)-D17</f>
        <v>-825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8"/>
      <c r="AK18" s="31">
        <f>((AJ3+AJ4-AJ16)/(AJ3+AJ4))*100</f>
        <v>-71.926765475152578</v>
      </c>
    </row>
    <row r="19" spans="1:37" ht="18" customHeight="1" x14ac:dyDescent="0.3">
      <c r="A19" s="107" t="s">
        <v>28</v>
      </c>
      <c r="B19" s="108"/>
      <c r="C19" s="109"/>
      <c r="D19" s="110">
        <f>(AJ3+AJ4+D17)-AJ16</f>
        <v>3084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  <c r="AK19" s="54"/>
    </row>
    <row r="24" spans="1:37" x14ac:dyDescent="0.3">
      <c r="S24" s="1" t="s">
        <v>11</v>
      </c>
    </row>
  </sheetData>
  <mergeCells count="22">
    <mergeCell ref="A19:C19"/>
    <mergeCell ref="D19:AJ19"/>
    <mergeCell ref="D16:E16"/>
    <mergeCell ref="F16:L16"/>
    <mergeCell ref="M16:S16"/>
    <mergeCell ref="T16:Z16"/>
    <mergeCell ref="AA16:AG16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24"/>
  <sheetViews>
    <sheetView zoomScale="78" zoomScaleNormal="78" workbookViewId="0">
      <selection activeCell="AM19" sqref="AM19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2"/>
      <c r="B1" s="82"/>
      <c r="C1" s="83"/>
      <c r="D1" s="56" t="s">
        <v>9</v>
      </c>
      <c r="E1" s="36" t="s">
        <v>8</v>
      </c>
      <c r="F1" s="37" t="s">
        <v>7</v>
      </c>
      <c r="G1" s="36" t="s">
        <v>6</v>
      </c>
      <c r="H1" s="36" t="s">
        <v>5</v>
      </c>
      <c r="I1" s="36" t="s">
        <v>4</v>
      </c>
      <c r="J1" s="37" t="s">
        <v>29</v>
      </c>
      <c r="K1" s="56" t="s">
        <v>9</v>
      </c>
      <c r="L1" s="36" t="s">
        <v>8</v>
      </c>
      <c r="M1" s="37" t="s">
        <v>7</v>
      </c>
      <c r="N1" s="36" t="s">
        <v>6</v>
      </c>
      <c r="O1" s="36" t="s">
        <v>5</v>
      </c>
      <c r="P1" s="36" t="s">
        <v>4</v>
      </c>
      <c r="Q1" s="37" t="s">
        <v>29</v>
      </c>
      <c r="R1" s="56" t="s">
        <v>9</v>
      </c>
      <c r="S1" s="36" t="s">
        <v>8</v>
      </c>
      <c r="T1" s="37" t="s">
        <v>7</v>
      </c>
      <c r="U1" s="36" t="s">
        <v>6</v>
      </c>
      <c r="V1" s="36" t="s">
        <v>5</v>
      </c>
      <c r="W1" s="36" t="s">
        <v>4</v>
      </c>
      <c r="X1" s="37" t="s">
        <v>29</v>
      </c>
      <c r="Y1" s="56" t="s">
        <v>9</v>
      </c>
      <c r="Z1" s="36" t="s">
        <v>8</v>
      </c>
      <c r="AA1" s="37" t="s">
        <v>7</v>
      </c>
      <c r="AB1" s="36" t="s">
        <v>6</v>
      </c>
      <c r="AC1" s="36" t="s">
        <v>5</v>
      </c>
      <c r="AD1" s="36" t="s">
        <v>4</v>
      </c>
      <c r="AE1" s="37" t="s">
        <v>29</v>
      </c>
      <c r="AF1" s="56" t="s">
        <v>9</v>
      </c>
      <c r="AG1" s="36" t="s">
        <v>8</v>
      </c>
      <c r="AH1" s="37" t="s">
        <v>7</v>
      </c>
      <c r="AI1" s="86" t="s">
        <v>30</v>
      </c>
      <c r="AJ1" s="95" t="s">
        <v>31</v>
      </c>
      <c r="AK1" s="97" t="s">
        <v>10</v>
      </c>
    </row>
    <row r="2" spans="1:37" ht="18.95" customHeight="1" x14ac:dyDescent="0.3">
      <c r="A2" s="84"/>
      <c r="B2" s="84"/>
      <c r="C2" s="85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87"/>
      <c r="AJ2" s="96"/>
      <c r="AK2" s="98"/>
    </row>
    <row r="3" spans="1:37" ht="18.95" customHeight="1" x14ac:dyDescent="0.3">
      <c r="A3" s="99" t="s">
        <v>12</v>
      </c>
      <c r="B3" s="100"/>
      <c r="C3" s="58" t="s">
        <v>0</v>
      </c>
      <c r="D3" s="14"/>
      <c r="E3" s="15"/>
      <c r="F3" s="15"/>
      <c r="G3" s="15"/>
      <c r="H3" s="15"/>
      <c r="I3" s="18"/>
      <c r="J3" s="16"/>
      <c r="K3" s="15">
        <v>125</v>
      </c>
      <c r="L3" s="15"/>
      <c r="M3" s="15">
        <v>120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>
        <v>700</v>
      </c>
      <c r="AC3" s="14"/>
      <c r="AD3" s="15"/>
      <c r="AE3" s="17"/>
      <c r="AF3" s="15"/>
      <c r="AG3" s="17"/>
      <c r="AH3" s="15"/>
      <c r="AI3" s="103">
        <f>AJ3/30</f>
        <v>31.5</v>
      </c>
      <c r="AJ3" s="48">
        <f>SUM(D3:AH3)</f>
        <v>945</v>
      </c>
      <c r="AK3" s="105">
        <v>100</v>
      </c>
    </row>
    <row r="4" spans="1:37" ht="18.95" customHeight="1" x14ac:dyDescent="0.3">
      <c r="A4" s="101"/>
      <c r="B4" s="102"/>
      <c r="C4" s="59" t="s">
        <v>13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104"/>
      <c r="AJ4" s="48">
        <f>SUM(D4:AH4)</f>
        <v>0</v>
      </c>
      <c r="AK4" s="106"/>
    </row>
    <row r="5" spans="1:37" ht="18.95" customHeight="1" x14ac:dyDescent="0.3">
      <c r="A5" s="88" t="s">
        <v>14</v>
      </c>
      <c r="B5" s="91" t="s">
        <v>15</v>
      </c>
      <c r="C5" s="60" t="s">
        <v>16</v>
      </c>
      <c r="D5" s="21">
        <v>9</v>
      </c>
      <c r="E5" s="2">
        <v>3</v>
      </c>
      <c r="F5" s="2"/>
      <c r="G5" s="2">
        <v>61</v>
      </c>
      <c r="H5" s="2"/>
      <c r="I5" s="2">
        <v>70</v>
      </c>
      <c r="J5" s="22"/>
      <c r="K5" s="2"/>
      <c r="L5" s="2">
        <v>14</v>
      </c>
      <c r="M5" s="2"/>
      <c r="N5" s="2">
        <v>66</v>
      </c>
      <c r="O5" s="2"/>
      <c r="P5" s="2"/>
      <c r="Q5" s="2">
        <v>5</v>
      </c>
      <c r="R5" s="2"/>
      <c r="S5" s="2"/>
      <c r="T5" s="2"/>
      <c r="U5" s="2"/>
      <c r="V5" s="2"/>
      <c r="W5" s="2">
        <v>20</v>
      </c>
      <c r="X5" s="2"/>
      <c r="Y5" s="2">
        <v>3</v>
      </c>
      <c r="Z5" s="2"/>
      <c r="AA5" s="2">
        <v>59</v>
      </c>
      <c r="AB5" s="2"/>
      <c r="AC5" s="21"/>
      <c r="AD5" s="2"/>
      <c r="AE5" s="23"/>
      <c r="AF5" s="2"/>
      <c r="AG5" s="23"/>
      <c r="AH5" s="2">
        <v>40</v>
      </c>
      <c r="AI5" s="43">
        <f t="shared" ref="AI5:AI16" si="0">AJ5/30</f>
        <v>11.666666666666666</v>
      </c>
      <c r="AJ5" s="32">
        <f>SUM(D5,E5,F5,G5,H5,I5,J5,K5,L5,M5,N5,O5,P5,Q5,R5,S5,T5,U5,V5,W5,X5,Y5,Z5,AA5,AB5,AC5,AD5,AE5,AF5,AG5,AH5)</f>
        <v>350</v>
      </c>
      <c r="AK5" s="3">
        <f>(AJ5/(AJ3+AJ4))*100</f>
        <v>37.037037037037038</v>
      </c>
    </row>
    <row r="6" spans="1:37" ht="18.95" customHeight="1" x14ac:dyDescent="0.3">
      <c r="A6" s="89"/>
      <c r="B6" s="91"/>
      <c r="C6" s="61" t="s">
        <v>17</v>
      </c>
      <c r="D6" s="4">
        <v>28</v>
      </c>
      <c r="E6" s="4">
        <v>22</v>
      </c>
      <c r="F6" s="4"/>
      <c r="G6" s="4">
        <v>18</v>
      </c>
      <c r="H6" s="4">
        <v>9</v>
      </c>
      <c r="I6" s="4">
        <v>9</v>
      </c>
      <c r="J6" s="24">
        <v>9</v>
      </c>
      <c r="K6" s="4">
        <v>22</v>
      </c>
      <c r="L6" s="4">
        <v>26</v>
      </c>
      <c r="M6" s="4">
        <v>9</v>
      </c>
      <c r="N6" s="4">
        <v>12</v>
      </c>
      <c r="O6" s="4">
        <v>14</v>
      </c>
      <c r="P6" s="4"/>
      <c r="Q6" s="4">
        <v>36</v>
      </c>
      <c r="R6" s="4">
        <v>36</v>
      </c>
      <c r="S6" s="4"/>
      <c r="T6" s="4">
        <v>3</v>
      </c>
      <c r="U6" s="4">
        <v>6</v>
      </c>
      <c r="V6" s="4">
        <v>13</v>
      </c>
      <c r="W6" s="4">
        <v>4</v>
      </c>
      <c r="X6" s="4"/>
      <c r="Y6" s="4">
        <v>9</v>
      </c>
      <c r="Z6" s="4">
        <v>6</v>
      </c>
      <c r="AA6" s="4"/>
      <c r="AB6" s="4">
        <v>6</v>
      </c>
      <c r="AC6" s="25">
        <v>3</v>
      </c>
      <c r="AD6" s="4">
        <v>30</v>
      </c>
      <c r="AE6" s="24"/>
      <c r="AF6" s="4"/>
      <c r="AG6" s="24"/>
      <c r="AH6" s="4"/>
      <c r="AI6" s="44">
        <f t="shared" si="0"/>
        <v>11</v>
      </c>
      <c r="AJ6" s="33">
        <f>SUM(D6,E6,F6,G6,H6,I6,J6,K6,L6,M6,N6,O6,P6,Q6,R6,S6,T6,U6,V6,W6,X6,Y6,Z6,AA6,AB6,AC6,AD6,AE6,AF6,AG6,AH6)</f>
        <v>330</v>
      </c>
      <c r="AK6" s="5">
        <f>(AJ6/(AJ3+AJ4))*100</f>
        <v>34.920634920634917</v>
      </c>
    </row>
    <row r="7" spans="1:37" ht="18.95" customHeight="1" x14ac:dyDescent="0.3">
      <c r="A7" s="89"/>
      <c r="B7" s="91"/>
      <c r="C7" s="61" t="s">
        <v>18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9"/>
      <c r="B8" s="91"/>
      <c r="C8" s="62" t="s">
        <v>19</v>
      </c>
      <c r="D8" s="38"/>
      <c r="E8" s="39"/>
      <c r="F8" s="39"/>
      <c r="G8" s="39">
        <v>6</v>
      </c>
      <c r="H8" s="39"/>
      <c r="I8" s="39"/>
      <c r="J8" s="40"/>
      <c r="K8" s="39"/>
      <c r="L8" s="39"/>
      <c r="M8" s="39"/>
      <c r="N8" s="39">
        <v>7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8"/>
      <c r="AD8" s="39"/>
      <c r="AE8" s="40"/>
      <c r="AF8" s="39"/>
      <c r="AG8" s="40"/>
      <c r="AH8" s="39"/>
      <c r="AI8" s="47">
        <f t="shared" si="0"/>
        <v>0.43333333333333335</v>
      </c>
      <c r="AJ8" s="41">
        <f>SUM(D8,E8,F8,G8,H8,I8,J8,K8,L8,M8,N8,O8,P8,Q8,R8,S8,T8,U8,V8,W8,X8,Y8,Z8,AA8,AB8,AC8,AD8,AE8,AF8,AG8,AH8)</f>
        <v>13</v>
      </c>
      <c r="AK8" s="42">
        <f>(AJ8/(AJ3+AJ4))*100</f>
        <v>1.3756613756613756</v>
      </c>
    </row>
    <row r="9" spans="1:37" ht="18.95" customHeight="1" x14ac:dyDescent="0.3">
      <c r="A9" s="89"/>
      <c r="B9" s="91"/>
      <c r="C9" s="60" t="s">
        <v>1</v>
      </c>
      <c r="D9" s="21"/>
      <c r="E9" s="2"/>
      <c r="F9" s="2"/>
      <c r="G9" s="2"/>
      <c r="H9" s="2"/>
      <c r="I9" s="2"/>
      <c r="J9" s="22"/>
      <c r="K9" s="2"/>
      <c r="L9" s="2">
        <v>277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/>
      <c r="AG9" s="23"/>
      <c r="AH9" s="2"/>
      <c r="AI9" s="43">
        <f t="shared" si="0"/>
        <v>9.2333333333333325</v>
      </c>
      <c r="AJ9" s="32">
        <f>SUM(D9,E9,F9,G9,H9,I9,J9,K9,L9,M9,N9,O9,P9,Q9,R9,S9,T9,U9,V9,W9,X9,Y9,Z9,AA9,AB9,AC9,AD9,AE9,AF9,AG9,AH9)</f>
        <v>277</v>
      </c>
      <c r="AK9" s="3">
        <f>(AJ9/(AJ3+AJ4))*100</f>
        <v>29.31216931216931</v>
      </c>
    </row>
    <row r="10" spans="1:37" ht="18.95" customHeight="1" x14ac:dyDescent="0.3">
      <c r="A10" s="89"/>
      <c r="B10" s="91"/>
      <c r="C10" s="61" t="s">
        <v>20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9"/>
      <c r="B11" s="91"/>
      <c r="C11" s="61" t="s">
        <v>21</v>
      </c>
      <c r="D11" s="21"/>
      <c r="E11" s="2">
        <v>13</v>
      </c>
      <c r="F11" s="2"/>
      <c r="G11" s="2">
        <v>230</v>
      </c>
      <c r="H11" s="2"/>
      <c r="I11" s="2"/>
      <c r="J11" s="22"/>
      <c r="K11" s="2">
        <v>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1">
        <v>6</v>
      </c>
      <c r="AD11" s="2"/>
      <c r="AE11" s="23"/>
      <c r="AF11" s="2"/>
      <c r="AG11" s="23"/>
      <c r="AH11" s="2">
        <v>9</v>
      </c>
      <c r="AI11" s="43">
        <f t="shared" si="0"/>
        <v>8.6666666666666661</v>
      </c>
      <c r="AJ11" s="32">
        <f>SUM(D11,E11,F11,G11,H11,I11,J11,K11,L11,M11,N11,O11,P11,Q11,R11,S11,T11,U11,V11,W11,X11,Y11,Z11,AA11,AB11,AC11,AD11,AE11,AF11,AG11,AH11)</f>
        <v>260</v>
      </c>
      <c r="AK11" s="3">
        <f>(AJ11/(AJ3+AJ4))*100</f>
        <v>27.513227513227513</v>
      </c>
    </row>
    <row r="12" spans="1:37" ht="18.95" customHeight="1" x14ac:dyDescent="0.3">
      <c r="A12" s="89"/>
      <c r="B12" s="92" t="s">
        <v>22</v>
      </c>
      <c r="C12" s="63" t="s">
        <v>2</v>
      </c>
      <c r="D12" s="6"/>
      <c r="E12" s="6"/>
      <c r="F12" s="6"/>
      <c r="G12" s="6"/>
      <c r="H12" s="6"/>
      <c r="I12" s="6"/>
      <c r="J12" s="26"/>
      <c r="K12" s="6"/>
      <c r="L12" s="6"/>
      <c r="M12" s="6"/>
      <c r="N12" s="6"/>
      <c r="O12" s="6"/>
      <c r="P12" s="6"/>
      <c r="Q12" s="6"/>
      <c r="R12" s="6">
        <v>30</v>
      </c>
      <c r="S12" s="6">
        <v>30</v>
      </c>
      <c r="T12" s="6"/>
      <c r="U12" s="6">
        <v>60</v>
      </c>
      <c r="V12" s="6">
        <v>30</v>
      </c>
      <c r="W12" s="6">
        <v>30</v>
      </c>
      <c r="X12" s="6"/>
      <c r="Y12" s="6"/>
      <c r="Z12" s="6"/>
      <c r="AA12" s="6"/>
      <c r="AB12" s="6"/>
      <c r="AC12" s="27">
        <v>76</v>
      </c>
      <c r="AD12" s="6"/>
      <c r="AE12" s="26">
        <v>58</v>
      </c>
      <c r="AF12" s="6"/>
      <c r="AG12" s="26"/>
      <c r="AH12" s="6">
        <v>9</v>
      </c>
      <c r="AI12" s="45">
        <f t="shared" si="0"/>
        <v>10.766666666666667</v>
      </c>
      <c r="AJ12" s="34">
        <f>SUM(D12,E12,F12,G12,H12,I12,J12,K12,L12,M12,N12,O12,P12,Q12,R12,S12,T12,U12,V12,W12,X12,Y12,Z12,AA12,AB12,AC12,AD12,AE12,AF12,AG12,AH12)</f>
        <v>323</v>
      </c>
      <c r="AK12" s="7">
        <f>(AJ12/(AJ3+AJ4))*100</f>
        <v>34.179894179894184</v>
      </c>
    </row>
    <row r="13" spans="1:37" ht="18.95" customHeight="1" x14ac:dyDescent="0.3">
      <c r="A13" s="89"/>
      <c r="B13" s="93"/>
      <c r="C13" s="63" t="s">
        <v>32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>
        <v>40</v>
      </c>
      <c r="AD13" s="8"/>
      <c r="AE13" s="30"/>
      <c r="AF13" s="8"/>
      <c r="AG13" s="30"/>
      <c r="AH13" s="8"/>
      <c r="AI13" s="46">
        <f t="shared" si="0"/>
        <v>1.3333333333333333</v>
      </c>
      <c r="AJ13" s="35">
        <f t="shared" si="1"/>
        <v>40</v>
      </c>
      <c r="AK13" s="9">
        <f>(AJ13/(AJ3+AJ4))*100</f>
        <v>4.2328042328042326</v>
      </c>
    </row>
    <row r="14" spans="1:37" ht="18.95" customHeight="1" x14ac:dyDescent="0.3">
      <c r="A14" s="89"/>
      <c r="B14" s="93"/>
      <c r="C14" s="57" t="s">
        <v>23</v>
      </c>
      <c r="D14" s="6"/>
      <c r="E14" s="6"/>
      <c r="F14" s="6"/>
      <c r="G14" s="6">
        <v>48</v>
      </c>
      <c r="H14" s="6">
        <v>6</v>
      </c>
      <c r="I14" s="6">
        <v>62</v>
      </c>
      <c r="J14" s="26">
        <v>3</v>
      </c>
      <c r="K14" s="6"/>
      <c r="L14" s="6"/>
      <c r="M14" s="6"/>
      <c r="N14" s="6">
        <v>46</v>
      </c>
      <c r="O14" s="6">
        <v>3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5.6</v>
      </c>
      <c r="AJ14" s="34">
        <f t="shared" si="1"/>
        <v>168</v>
      </c>
      <c r="AK14" s="7">
        <f>(AJ14/(AJ3+AJ4))*100</f>
        <v>17.777777777777779</v>
      </c>
    </row>
    <row r="15" spans="1:37" ht="18.95" customHeight="1" x14ac:dyDescent="0.3">
      <c r="A15" s="89"/>
      <c r="B15" s="94"/>
      <c r="C15" s="63" t="s">
        <v>24</v>
      </c>
      <c r="D15" s="51"/>
      <c r="E15" s="51"/>
      <c r="F15" s="51"/>
      <c r="G15" s="51"/>
      <c r="H15" s="51"/>
      <c r="I15" s="51"/>
      <c r="J15" s="50"/>
      <c r="K15" s="51"/>
      <c r="L15" s="51"/>
      <c r="M15" s="51"/>
      <c r="N15" s="51"/>
      <c r="O15" s="51"/>
      <c r="P15" s="51"/>
      <c r="Q15" s="51"/>
      <c r="R15" s="51"/>
      <c r="S15" s="51">
        <v>35</v>
      </c>
      <c r="T15" s="51"/>
      <c r="U15" s="51">
        <v>20</v>
      </c>
      <c r="V15" s="51"/>
      <c r="W15" s="51">
        <v>100</v>
      </c>
      <c r="X15" s="51"/>
      <c r="Y15" s="51"/>
      <c r="Z15" s="51"/>
      <c r="AA15" s="51"/>
      <c r="AB15" s="51"/>
      <c r="AC15" s="52"/>
      <c r="AD15" s="51"/>
      <c r="AE15" s="50"/>
      <c r="AF15" s="51"/>
      <c r="AG15" s="50"/>
      <c r="AH15" s="51"/>
      <c r="AI15" s="45">
        <f t="shared" si="0"/>
        <v>5.166666666666667</v>
      </c>
      <c r="AJ15" s="34">
        <f>SUM(D15,E15,F15,G15,H15,I15,J15,K15,L15,M15,N15,O15,P15,Q15,R15,S15,T15,U15,V15,W15,X15,Y15,Z15,AA15,AB15,AC15,AD15,AE15,AF15,AG15,AH15)</f>
        <v>155</v>
      </c>
      <c r="AK15" s="7">
        <f>(AJ15/(AJ3+AJ4))*100</f>
        <v>16.402116402116402</v>
      </c>
    </row>
    <row r="16" spans="1:37" ht="18.399999999999999" customHeight="1" x14ac:dyDescent="0.3">
      <c r="A16" s="90"/>
      <c r="B16" s="79" t="s">
        <v>25</v>
      </c>
      <c r="C16" s="80"/>
      <c r="D16" s="79">
        <f>SUM(D5:J15)</f>
        <v>606</v>
      </c>
      <c r="E16" s="80"/>
      <c r="F16" s="80"/>
      <c r="G16" s="80"/>
      <c r="H16" s="80"/>
      <c r="I16" s="80"/>
      <c r="J16" s="81"/>
      <c r="K16" s="79">
        <f>SUM(K5:Q15)</f>
        <v>539</v>
      </c>
      <c r="L16" s="80"/>
      <c r="M16" s="80"/>
      <c r="N16" s="80"/>
      <c r="O16" s="80"/>
      <c r="P16" s="80"/>
      <c r="Q16" s="81"/>
      <c r="R16" s="79">
        <f>SUM(R5:X15)</f>
        <v>417</v>
      </c>
      <c r="S16" s="80"/>
      <c r="T16" s="80"/>
      <c r="U16" s="80"/>
      <c r="V16" s="80"/>
      <c r="W16" s="80"/>
      <c r="X16" s="81"/>
      <c r="Y16" s="79">
        <f>SUM(Y5:AE15)</f>
        <v>296</v>
      </c>
      <c r="Z16" s="80"/>
      <c r="AA16" s="80"/>
      <c r="AB16" s="80"/>
      <c r="AC16" s="80"/>
      <c r="AD16" s="80"/>
      <c r="AE16" s="80"/>
      <c r="AF16" s="79">
        <f>SUM(AF5:AH15)</f>
        <v>58</v>
      </c>
      <c r="AG16" s="80"/>
      <c r="AH16" s="81"/>
      <c r="AI16" s="53">
        <f t="shared" si="0"/>
        <v>63.866666666666667</v>
      </c>
      <c r="AJ16" s="49">
        <f>SUM(AJ5,AJ6,AJ7,AJ8,AJ9,AJ10,AJ11,AJ12,AJ13,AJ14,AJ15)</f>
        <v>1916</v>
      </c>
      <c r="AK16" s="10">
        <f>SUM(AK5,AK6,AK7,AK8,AK9,AK10,AK11,AK12,AK13,AK14,AK15)</f>
        <v>202.75132275132273</v>
      </c>
    </row>
    <row r="17" spans="1:37" ht="18" customHeight="1" x14ac:dyDescent="0.3">
      <c r="A17" s="113" t="s">
        <v>26</v>
      </c>
      <c r="B17" s="113"/>
      <c r="C17" s="114"/>
      <c r="D17" s="115">
        <v>3084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7"/>
      <c r="AJ17" s="118"/>
      <c r="AK17" s="78"/>
    </row>
    <row r="18" spans="1:37" ht="18" customHeight="1" x14ac:dyDescent="0.3">
      <c r="A18" s="108" t="s">
        <v>27</v>
      </c>
      <c r="B18" s="108"/>
      <c r="C18" s="109"/>
      <c r="D18" s="119">
        <f>((AJ3+AJ4+D17)-AJ16)-D17</f>
        <v>-971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8"/>
      <c r="AK18" s="31">
        <f>((AJ3+AJ4-AJ16)/(AJ3+AJ4))*100</f>
        <v>-102.75132275132275</v>
      </c>
    </row>
    <row r="19" spans="1:37" ht="18" customHeight="1" x14ac:dyDescent="0.3">
      <c r="A19" s="107" t="s">
        <v>28</v>
      </c>
      <c r="B19" s="108"/>
      <c r="C19" s="109"/>
      <c r="D19" s="110">
        <f>(AJ3+AJ4+D17)-AJ16</f>
        <v>2113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  <c r="AK19" s="54"/>
    </row>
    <row r="24" spans="1:37" x14ac:dyDescent="0.3">
      <c r="S24" s="1" t="s">
        <v>11</v>
      </c>
    </row>
  </sheetData>
  <mergeCells count="22">
    <mergeCell ref="A19:C19"/>
    <mergeCell ref="D19:AJ19"/>
    <mergeCell ref="D16:J16"/>
    <mergeCell ref="K16:Q16"/>
    <mergeCell ref="R16:X16"/>
    <mergeCell ref="Y16:AE16"/>
    <mergeCell ref="AF16:AH16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Січень 2014</vt:lpstr>
      <vt:lpstr>Лютий 2014</vt:lpstr>
      <vt:lpstr>Березень 2014</vt:lpstr>
      <vt:lpstr>Квітень 2014</vt:lpstr>
      <vt:lpstr>Травень 2014</vt:lpstr>
      <vt:lpstr>Червень 2014</vt:lpstr>
      <vt:lpstr>Липень 2014</vt:lpstr>
      <vt:lpstr>Серпень 2014</vt:lpstr>
      <vt:lpstr>Вересень 2014</vt:lpstr>
      <vt:lpstr>Жовтень 2014</vt:lpstr>
      <vt:lpstr>Листопад 2014</vt:lpstr>
      <vt:lpstr>Грудень 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2026-08-28T08:24:17Z</dcterms:modified>
</cp:coreProperties>
</file>