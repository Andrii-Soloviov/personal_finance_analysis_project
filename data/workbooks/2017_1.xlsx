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403A19AB-F803-4B14-AEF2-98DBE166519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Січень 2017" sheetId="53" r:id="rId1"/>
    <sheet name="Лютий 2017" sheetId="54" r:id="rId2"/>
    <sheet name="Березень 2017 " sheetId="56" r:id="rId3"/>
    <sheet name="Квітень 2017" sheetId="5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57" l="1"/>
  <c r="AA16" i="57"/>
  <c r="T16" i="57"/>
  <c r="M16" i="57"/>
  <c r="F16" i="57"/>
  <c r="AJ15" i="57"/>
  <c r="AJ14" i="57"/>
  <c r="AI14" i="57" s="1"/>
  <c r="AJ13" i="57"/>
  <c r="AJ12" i="57"/>
  <c r="AI12" i="57" s="1"/>
  <c r="AJ11" i="57"/>
  <c r="AJ10" i="57"/>
  <c r="AI10" i="57" s="1"/>
  <c r="AJ9" i="57"/>
  <c r="AJ8" i="57"/>
  <c r="AI8" i="57" s="1"/>
  <c r="AJ7" i="57"/>
  <c r="AJ6" i="57"/>
  <c r="AI6" i="57" s="1"/>
  <c r="AJ5" i="57"/>
  <c r="AJ4" i="57"/>
  <c r="AJ3" i="57"/>
  <c r="AI3" i="57"/>
  <c r="AK7" i="57" l="1"/>
  <c r="AK9" i="57"/>
  <c r="AK11" i="57"/>
  <c r="AK13" i="57"/>
  <c r="AK15" i="57"/>
  <c r="AK14" i="57"/>
  <c r="AJ16" i="57"/>
  <c r="D19" i="57" s="1"/>
  <c r="AK6" i="57"/>
  <c r="AK8" i="57"/>
  <c r="AK10" i="57"/>
  <c r="AK12" i="57"/>
  <c r="AI5" i="57"/>
  <c r="AK5" i="57"/>
  <c r="AI7" i="57"/>
  <c r="AI9" i="57"/>
  <c r="AI11" i="57"/>
  <c r="AI13" i="57"/>
  <c r="AI15" i="57"/>
  <c r="D16" i="56"/>
  <c r="AD16" i="56"/>
  <c r="W16" i="56"/>
  <c r="P16" i="56"/>
  <c r="I16" i="56"/>
  <c r="AJ15" i="56"/>
  <c r="AJ14" i="56"/>
  <c r="AJ13" i="56"/>
  <c r="AJ12" i="56"/>
  <c r="AJ11" i="56"/>
  <c r="AJ10" i="56"/>
  <c r="AJ9" i="56"/>
  <c r="AJ8" i="56"/>
  <c r="AJ7" i="56"/>
  <c r="AJ6" i="56"/>
  <c r="AJ5" i="56"/>
  <c r="AJ4" i="56"/>
  <c r="AJ3" i="56"/>
  <c r="AI3" i="56" s="1"/>
  <c r="AK16" i="57" l="1"/>
  <c r="AI16" i="57"/>
  <c r="D18" i="57"/>
  <c r="AK18" i="57"/>
  <c r="AJ16" i="56"/>
  <c r="AI16" i="56" s="1"/>
  <c r="AK7" i="56"/>
  <c r="AK9" i="56"/>
  <c r="AK11" i="56"/>
  <c r="AK13" i="56"/>
  <c r="AK15" i="56"/>
  <c r="AK6" i="56"/>
  <c r="AK8" i="56"/>
  <c r="AK10" i="56"/>
  <c r="AK12" i="56"/>
  <c r="AK14" i="56"/>
  <c r="AI5" i="56"/>
  <c r="AK5" i="56"/>
  <c r="AI7" i="56"/>
  <c r="AI9" i="56"/>
  <c r="AI11" i="56"/>
  <c r="AI13" i="56"/>
  <c r="AI15" i="56"/>
  <c r="AI6" i="56"/>
  <c r="AI8" i="56"/>
  <c r="AI10" i="56"/>
  <c r="AI12" i="56"/>
  <c r="AI14" i="56"/>
  <c r="AD16" i="54"/>
  <c r="W16" i="54"/>
  <c r="P16" i="54"/>
  <c r="I16" i="54"/>
  <c r="D16" i="54"/>
  <c r="AK16" i="56" l="1"/>
  <c r="D18" i="56"/>
  <c r="AK18" i="56"/>
  <c r="D19" i="56"/>
  <c r="AJ15" i="54"/>
  <c r="AJ14" i="54"/>
  <c r="AJ13" i="54"/>
  <c r="AJ12" i="54"/>
  <c r="AI12" i="54" s="1"/>
  <c r="AJ11" i="54"/>
  <c r="AJ10" i="54"/>
  <c r="AI10" i="54" s="1"/>
  <c r="AJ9" i="54"/>
  <c r="AJ8" i="54"/>
  <c r="AI8" i="54" s="1"/>
  <c r="AJ7" i="54"/>
  <c r="AJ6" i="54"/>
  <c r="AI6" i="54" s="1"/>
  <c r="AJ5" i="54"/>
  <c r="AJ4" i="54"/>
  <c r="AJ3" i="54"/>
  <c r="AI3" i="54" l="1"/>
  <c r="AJ16" i="54"/>
  <c r="AI16" i="54" s="1"/>
  <c r="AK9" i="54"/>
  <c r="AK13" i="54"/>
  <c r="AK14" i="54"/>
  <c r="AK7" i="54"/>
  <c r="AK11" i="54"/>
  <c r="AI14" i="54"/>
  <c r="AK15" i="54"/>
  <c r="AK6" i="54"/>
  <c r="AK8" i="54"/>
  <c r="AK10" i="54"/>
  <c r="AK12" i="54"/>
  <c r="AI5" i="54"/>
  <c r="AK5" i="54"/>
  <c r="AI7" i="54"/>
  <c r="AI9" i="54"/>
  <c r="AI11" i="54"/>
  <c r="AI13" i="54"/>
  <c r="AI15" i="54"/>
  <c r="Z16" i="53"/>
  <c r="S16" i="53"/>
  <c r="L16" i="53"/>
  <c r="E16" i="53"/>
  <c r="AJ15" i="53"/>
  <c r="AJ14" i="53"/>
  <c r="AI14" i="53" s="1"/>
  <c r="AJ13" i="53"/>
  <c r="AJ12" i="53"/>
  <c r="AI12" i="53" s="1"/>
  <c r="AJ11" i="53"/>
  <c r="AJ10" i="53"/>
  <c r="AI10" i="53" s="1"/>
  <c r="AJ9" i="53"/>
  <c r="AJ8" i="53"/>
  <c r="AI8" i="53" s="1"/>
  <c r="AJ7" i="53"/>
  <c r="AJ6" i="53"/>
  <c r="AI6" i="53" s="1"/>
  <c r="AJ5" i="53"/>
  <c r="AJ4" i="53"/>
  <c r="AJ3" i="53"/>
  <c r="AK16" i="54" l="1"/>
  <c r="D19" i="54"/>
  <c r="D18" i="54"/>
  <c r="AK18" i="54"/>
  <c r="AI3" i="53"/>
  <c r="AJ16" i="53"/>
  <c r="AI16" i="53" s="1"/>
  <c r="AK7" i="53"/>
  <c r="AK11" i="53"/>
  <c r="AK15" i="53"/>
  <c r="AK9" i="53"/>
  <c r="AK13" i="53"/>
  <c r="AI5" i="53"/>
  <c r="AK5" i="53"/>
  <c r="AI7" i="53"/>
  <c r="AI9" i="53"/>
  <c r="AI11" i="53"/>
  <c r="AI13" i="53"/>
  <c r="AI15" i="53"/>
  <c r="AK6" i="53"/>
  <c r="AK8" i="53"/>
  <c r="AK10" i="53"/>
  <c r="AK12" i="53"/>
  <c r="AK14" i="53"/>
  <c r="D18" i="53" l="1"/>
  <c r="AK18" i="53"/>
  <c r="D19" i="53"/>
  <c r="AK16" i="53"/>
</calcChain>
</file>

<file path=xl/sharedStrings.xml><?xml version="1.0" encoding="utf-8"?>
<sst xmlns="http://schemas.openxmlformats.org/spreadsheetml/2006/main" count="220" uniqueCount="32">
  <si>
    <t>Зарплата</t>
  </si>
  <si>
    <t>Квартира</t>
  </si>
  <si>
    <t>Алкоголь</t>
  </si>
  <si>
    <t>сб</t>
  </si>
  <si>
    <t>пт</t>
  </si>
  <si>
    <t>чт</t>
  </si>
  <si>
    <t>ср</t>
  </si>
  <si>
    <t>вт</t>
  </si>
  <si>
    <t>пн</t>
  </si>
  <si>
    <t>%</t>
  </si>
  <si>
    <t xml:space="preserve"> </t>
  </si>
  <si>
    <t>Доходи</t>
  </si>
  <si>
    <t>Інші доходи</t>
  </si>
  <si>
    <t>Витрати</t>
  </si>
  <si>
    <t>Потреби</t>
  </si>
  <si>
    <t>Харчування</t>
  </si>
  <si>
    <t>Проїзд</t>
  </si>
  <si>
    <t>Здоров'я</t>
  </si>
  <si>
    <t>Госп.Товари</t>
  </si>
  <si>
    <t>Речі та взуття</t>
  </si>
  <si>
    <t>Інші витрати</t>
  </si>
  <si>
    <t>Необов'язкове</t>
  </si>
  <si>
    <t>Смаколики</t>
  </si>
  <si>
    <t>Заходи</t>
  </si>
  <si>
    <t>Розваги</t>
  </si>
  <si>
    <t>Всього</t>
  </si>
  <si>
    <t>Баланс на поч. міс.</t>
  </si>
  <si>
    <t>Прибуток</t>
  </si>
  <si>
    <t>Баланс на кін. міс.</t>
  </si>
  <si>
    <t>нд</t>
  </si>
  <si>
    <t>В середньому</t>
  </si>
  <si>
    <t>Всього за місяць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</si>
</sst>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 diagonalUp="1">
      <left/>
      <right/>
      <top/>
      <bottom/>
      <diagonal style="thin">
        <color auto="1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/>
      <right style="thin">
        <color indexed="64"/>
      </right>
      <top/>
      <bottom style="thin">
        <color indexed="64"/>
      </bottom>
      <diagonal style="thin">
        <color auto="1"/>
      </diagonal>
    </border>
    <border diagonalUp="1">
      <left/>
      <right style="thin">
        <color indexed="64"/>
      </right>
      <top/>
      <bottom/>
      <diagonal style="thin">
        <color auto="1"/>
      </diagonal>
    </border>
    <border diagonalUp="1">
      <left/>
      <right/>
      <top/>
      <bottom style="thin">
        <color indexed="64"/>
      </bottom>
      <diagonal style="thin">
        <color auto="1"/>
      </diagonal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1" fillId="3" borderId="3" xfId="0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2" fillId="4" borderId="12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4" fontId="2" fillId="5" borderId="12" xfId="0" applyNumberFormat="1" applyFont="1" applyFill="1" applyBorder="1" applyAlignment="1">
      <alignment horizontal="center" vertical="center"/>
    </xf>
    <xf numFmtId="0" fontId="1" fillId="8" borderId="12" xfId="0" applyFont="1" applyFill="1" applyBorder="1"/>
    <xf numFmtId="0" fontId="1" fillId="8" borderId="1" xfId="0" applyFont="1" applyFill="1" applyBorder="1"/>
    <xf numFmtId="0" fontId="1" fillId="8" borderId="14" xfId="0" applyFont="1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2" fontId="2" fillId="5" borderId="12" xfId="0" applyNumberFormat="1" applyFont="1" applyFill="1" applyBorder="1" applyAlignment="1">
      <alignment horizontal="center" vertical="center"/>
    </xf>
    <xf numFmtId="0" fontId="2" fillId="6" borderId="1" xfId="0" applyFont="1" applyFill="1" applyBorder="1"/>
    <xf numFmtId="0" fontId="1" fillId="8" borderId="1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/>
    <xf numFmtId="0" fontId="5" fillId="2" borderId="4" xfId="0" applyFont="1" applyFill="1" applyBorder="1"/>
    <xf numFmtId="0" fontId="5" fillId="3" borderId="3" xfId="0" applyFont="1" applyFill="1" applyBorder="1"/>
    <xf numFmtId="0" fontId="5" fillId="3" borderId="1" xfId="0" applyFont="1" applyFill="1" applyBorder="1"/>
    <xf numFmtId="0" fontId="5" fillId="3" borderId="4" xfId="0" applyFont="1" applyFill="1" applyBorder="1"/>
    <xf numFmtId="0" fontId="5" fillId="4" borderId="1" xfId="0" applyFont="1" applyFill="1" applyBorder="1"/>
    <xf numFmtId="0" fontId="2" fillId="5" borderId="14" xfId="0" applyFont="1" applyFill="1" applyBorder="1" applyAlignment="1">
      <alignment vertical="center"/>
    </xf>
    <xf numFmtId="0" fontId="2" fillId="5" borderId="12" xfId="0" applyFont="1" applyFill="1" applyBorder="1" applyAlignment="1">
      <alignment vertical="center"/>
    </xf>
    <xf numFmtId="0" fontId="2" fillId="6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9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1" fillId="2" borderId="4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right"/>
    </xf>
    <xf numFmtId="0" fontId="2" fillId="6" borderId="14" xfId="0" applyFont="1" applyFill="1" applyBorder="1" applyAlignment="1">
      <alignment horizontal="right"/>
    </xf>
    <xf numFmtId="0" fontId="2" fillId="6" borderId="12" xfId="0" applyFont="1" applyFill="1" applyBorder="1" applyAlignment="1">
      <alignment horizontal="right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right" vertical="center"/>
    </xf>
    <xf numFmtId="0" fontId="2" fillId="6" borderId="18" xfId="0" applyFont="1" applyFill="1" applyBorder="1" applyAlignment="1">
      <alignment horizontal="right" vertical="center"/>
    </xf>
    <xf numFmtId="0" fontId="2" fillId="6" borderId="14" xfId="0" applyFont="1" applyFill="1" applyBorder="1" applyAlignment="1">
      <alignment horizontal="right" vertical="center"/>
    </xf>
    <xf numFmtId="0" fontId="2" fillId="6" borderId="12" xfId="0" applyFont="1" applyFill="1" applyBorder="1" applyAlignment="1">
      <alignment horizontal="right" vertical="center"/>
    </xf>
    <xf numFmtId="0" fontId="2" fillId="6" borderId="13" xfId="0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center" vertical="center" textRotation="90"/>
    </xf>
    <xf numFmtId="0" fontId="4" fillId="7" borderId="3" xfId="0" applyFont="1" applyFill="1" applyBorder="1" applyAlignment="1">
      <alignment horizontal="center" vertical="center" textRotation="90"/>
    </xf>
    <xf numFmtId="0" fontId="4" fillId="7" borderId="4" xfId="0" applyFont="1" applyFill="1" applyBorder="1" applyAlignment="1">
      <alignment horizontal="center" vertical="center" textRotation="90"/>
    </xf>
    <xf numFmtId="0" fontId="2" fillId="3" borderId="3" xfId="0" applyFont="1" applyFill="1" applyBorder="1" applyAlignment="1">
      <alignment horizontal="center" vertical="center" textRotation="90"/>
    </xf>
    <xf numFmtId="0" fontId="3" fillId="4" borderId="2" xfId="0" applyFont="1" applyFill="1" applyBorder="1" applyAlignment="1">
      <alignment horizontal="center" textRotation="90"/>
    </xf>
    <xf numFmtId="0" fontId="3" fillId="4" borderId="3" xfId="0" applyFont="1" applyFill="1" applyBorder="1" applyAlignment="1">
      <alignment horizontal="center" textRotation="90"/>
    </xf>
    <xf numFmtId="0" fontId="2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00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4"/>
  <sheetViews>
    <sheetView tabSelected="1" zoomScale="80" zoomScaleNormal="80" workbookViewId="0">
      <selection activeCell="O23" sqref="O23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570312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70"/>
      <c r="B1" s="70"/>
      <c r="C1" s="71"/>
      <c r="D1" s="37" t="s">
        <v>29</v>
      </c>
      <c r="E1" s="55" t="s">
        <v>8</v>
      </c>
      <c r="F1" s="36" t="s">
        <v>7</v>
      </c>
      <c r="G1" s="37" t="s">
        <v>6</v>
      </c>
      <c r="H1" s="36" t="s">
        <v>5</v>
      </c>
      <c r="I1" s="36" t="s">
        <v>4</v>
      </c>
      <c r="J1" s="36" t="s">
        <v>3</v>
      </c>
      <c r="K1" s="37" t="s">
        <v>29</v>
      </c>
      <c r="L1" s="55" t="s">
        <v>8</v>
      </c>
      <c r="M1" s="36" t="s">
        <v>7</v>
      </c>
      <c r="N1" s="37" t="s">
        <v>6</v>
      </c>
      <c r="O1" s="36" t="s">
        <v>5</v>
      </c>
      <c r="P1" s="36" t="s">
        <v>4</v>
      </c>
      <c r="Q1" s="36" t="s">
        <v>3</v>
      </c>
      <c r="R1" s="37" t="s">
        <v>29</v>
      </c>
      <c r="S1" s="55" t="s">
        <v>8</v>
      </c>
      <c r="T1" s="36" t="s">
        <v>7</v>
      </c>
      <c r="U1" s="37" t="s">
        <v>6</v>
      </c>
      <c r="V1" s="36" t="s">
        <v>5</v>
      </c>
      <c r="W1" s="36" t="s">
        <v>4</v>
      </c>
      <c r="X1" s="36" t="s">
        <v>3</v>
      </c>
      <c r="Y1" s="37" t="s">
        <v>29</v>
      </c>
      <c r="Z1" s="55" t="s">
        <v>8</v>
      </c>
      <c r="AA1" s="36" t="s">
        <v>7</v>
      </c>
      <c r="AB1" s="37" t="s">
        <v>6</v>
      </c>
      <c r="AC1" s="36" t="s">
        <v>5</v>
      </c>
      <c r="AD1" s="36" t="s">
        <v>4</v>
      </c>
      <c r="AE1" s="36" t="s">
        <v>3</v>
      </c>
      <c r="AF1" s="37" t="s">
        <v>29</v>
      </c>
      <c r="AG1" s="55" t="s">
        <v>8</v>
      </c>
      <c r="AH1" s="36" t="s">
        <v>7</v>
      </c>
      <c r="AI1" s="74" t="s">
        <v>30</v>
      </c>
      <c r="AJ1" s="76" t="s">
        <v>31</v>
      </c>
      <c r="AK1" s="78" t="s">
        <v>9</v>
      </c>
    </row>
    <row r="2" spans="1:37" ht="18.95" customHeight="1" x14ac:dyDescent="0.3">
      <c r="A2" s="72"/>
      <c r="B2" s="72"/>
      <c r="C2" s="73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75"/>
      <c r="AJ2" s="77"/>
      <c r="AK2" s="79"/>
    </row>
    <row r="3" spans="1:37" ht="18.95" customHeight="1" x14ac:dyDescent="0.3">
      <c r="A3" s="80" t="s">
        <v>11</v>
      </c>
      <c r="B3" s="81"/>
      <c r="C3" s="57" t="s">
        <v>0</v>
      </c>
      <c r="D3" s="14"/>
      <c r="E3" s="15"/>
      <c r="F3" s="15"/>
      <c r="G3" s="15"/>
      <c r="H3" s="15"/>
      <c r="I3" s="18"/>
      <c r="J3" s="16"/>
      <c r="K3" s="15"/>
      <c r="L3" s="15"/>
      <c r="M3" s="15"/>
      <c r="N3" s="15">
        <v>2556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>
        <v>1272</v>
      </c>
      <c r="AC3" s="14"/>
      <c r="AD3" s="15"/>
      <c r="AE3" s="17"/>
      <c r="AF3" s="15"/>
      <c r="AG3" s="17"/>
      <c r="AH3" s="15"/>
      <c r="AI3" s="84">
        <f>(AJ3+AJ4)/31</f>
        <v>129.41935483870967</v>
      </c>
      <c r="AJ3" s="48">
        <f>SUM(D3:AH3)</f>
        <v>3828</v>
      </c>
      <c r="AK3" s="86">
        <v>100</v>
      </c>
    </row>
    <row r="4" spans="1:37" ht="18.95" customHeight="1" x14ac:dyDescent="0.3">
      <c r="A4" s="82"/>
      <c r="B4" s="83"/>
      <c r="C4" s="58" t="s">
        <v>12</v>
      </c>
      <c r="D4" s="18"/>
      <c r="E4" s="18"/>
      <c r="F4" s="18"/>
      <c r="G4" s="18"/>
      <c r="H4" s="18"/>
      <c r="I4" s="18"/>
      <c r="J4" s="19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>
        <v>47</v>
      </c>
      <c r="Z4" s="18"/>
      <c r="AA4" s="18"/>
      <c r="AB4" s="18"/>
      <c r="AC4" s="20"/>
      <c r="AD4" s="18"/>
      <c r="AE4" s="19"/>
      <c r="AF4" s="18"/>
      <c r="AG4" s="19"/>
      <c r="AH4" s="18">
        <v>137</v>
      </c>
      <c r="AI4" s="85"/>
      <c r="AJ4" s="48">
        <f>SUM(D4:AH4)</f>
        <v>184</v>
      </c>
      <c r="AK4" s="87"/>
    </row>
    <row r="5" spans="1:37" ht="18.95" customHeight="1" x14ac:dyDescent="0.3">
      <c r="A5" s="103" t="s">
        <v>13</v>
      </c>
      <c r="B5" s="106" t="s">
        <v>14</v>
      </c>
      <c r="C5" s="59" t="s">
        <v>15</v>
      </c>
      <c r="D5" s="2"/>
      <c r="E5" s="2"/>
      <c r="F5" s="2">
        <v>16</v>
      </c>
      <c r="G5" s="2"/>
      <c r="H5" s="2">
        <v>52</v>
      </c>
      <c r="I5" s="2"/>
      <c r="J5" s="22"/>
      <c r="K5" s="2"/>
      <c r="L5" s="2">
        <v>16</v>
      </c>
      <c r="M5" s="2">
        <v>4</v>
      </c>
      <c r="N5" s="2">
        <v>63</v>
      </c>
      <c r="O5" s="2">
        <v>41</v>
      </c>
      <c r="P5" s="2"/>
      <c r="Q5" s="2"/>
      <c r="R5" s="2"/>
      <c r="S5" s="2">
        <v>6</v>
      </c>
      <c r="T5" s="2">
        <v>3</v>
      </c>
      <c r="U5" s="2">
        <v>10</v>
      </c>
      <c r="V5" s="2">
        <v>60</v>
      </c>
      <c r="W5" s="2">
        <v>34</v>
      </c>
      <c r="X5" s="2">
        <v>7</v>
      </c>
      <c r="Y5" s="2">
        <v>8</v>
      </c>
      <c r="Z5" s="2">
        <v>24</v>
      </c>
      <c r="AA5" s="2"/>
      <c r="AB5" s="2">
        <v>32</v>
      </c>
      <c r="AC5" s="21"/>
      <c r="AD5" s="2">
        <v>257</v>
      </c>
      <c r="AE5" s="23">
        <v>151</v>
      </c>
      <c r="AF5" s="2">
        <v>7</v>
      </c>
      <c r="AG5" s="23">
        <v>81</v>
      </c>
      <c r="AH5" s="2">
        <v>9</v>
      </c>
      <c r="AI5" s="43">
        <f t="shared" ref="AI5:AI15" si="0">AJ5/31</f>
        <v>28.419354838709676</v>
      </c>
      <c r="AJ5" s="32">
        <f>SUM(D5,E5,F5,G5,H5,I5,J5,K5,L5,M5,N5,O5,P5,Q5,R5,S5,T5,U5,V5,W5,X5,Y5,Z5,AA5,AB5,AC5,AD5,AE5,AF5,AG5,AH5)</f>
        <v>881</v>
      </c>
      <c r="AK5" s="3">
        <f>(AJ5/(AJ3+AJ4))*100</f>
        <v>21.959122632103689</v>
      </c>
    </row>
    <row r="6" spans="1:37" ht="18.95" customHeight="1" x14ac:dyDescent="0.3">
      <c r="A6" s="104"/>
      <c r="B6" s="106"/>
      <c r="C6" s="60" t="s">
        <v>16</v>
      </c>
      <c r="D6" s="4"/>
      <c r="E6" s="4">
        <v>32</v>
      </c>
      <c r="F6" s="4">
        <v>3</v>
      </c>
      <c r="G6" s="4"/>
      <c r="H6" s="4">
        <v>7</v>
      </c>
      <c r="I6" s="4">
        <v>25</v>
      </c>
      <c r="J6" s="24"/>
      <c r="K6" s="4"/>
      <c r="L6" s="4">
        <v>33</v>
      </c>
      <c r="M6" s="4"/>
      <c r="N6" s="4">
        <v>39</v>
      </c>
      <c r="O6" s="4"/>
      <c r="P6" s="4"/>
      <c r="Q6" s="4">
        <v>33</v>
      </c>
      <c r="R6" s="4"/>
      <c r="S6" s="4">
        <v>24</v>
      </c>
      <c r="T6" s="4">
        <v>8</v>
      </c>
      <c r="U6" s="4">
        <v>12</v>
      </c>
      <c r="V6" s="4">
        <v>21</v>
      </c>
      <c r="W6" s="4">
        <v>14</v>
      </c>
      <c r="X6" s="4">
        <v>24</v>
      </c>
      <c r="Y6" s="4">
        <v>30</v>
      </c>
      <c r="Z6" s="4"/>
      <c r="AA6" s="4"/>
      <c r="AB6" s="4">
        <v>29</v>
      </c>
      <c r="AC6" s="25"/>
      <c r="AD6" s="4">
        <v>17</v>
      </c>
      <c r="AE6" s="24">
        <v>7</v>
      </c>
      <c r="AF6" s="4"/>
      <c r="AG6" s="24">
        <v>7</v>
      </c>
      <c r="AH6" s="4">
        <v>10</v>
      </c>
      <c r="AI6" s="44">
        <f t="shared" si="0"/>
        <v>12.096774193548388</v>
      </c>
      <c r="AJ6" s="33">
        <f>SUM(D6,E6,F6,G6,H6,I6,J6,K6,L6,M6,N6,O6,P6,Q6,R6,S6,T6,U6,V6,W6,X6,Y6,Z6,AA6,AB6,AC6,AD6,AE6,AF6,AG6,AH6)</f>
        <v>375</v>
      </c>
      <c r="AK6" s="5">
        <f>(AJ6/(AJ3+AJ4))*100</f>
        <v>9.3469591226321036</v>
      </c>
    </row>
    <row r="7" spans="1:37" ht="18.95" customHeight="1" x14ac:dyDescent="0.3">
      <c r="A7" s="104"/>
      <c r="B7" s="106"/>
      <c r="C7" s="60" t="s">
        <v>17</v>
      </c>
      <c r="D7" s="4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>
        <v>22</v>
      </c>
      <c r="AI7" s="44">
        <f t="shared" si="0"/>
        <v>0.70967741935483875</v>
      </c>
      <c r="AJ7" s="33">
        <f>SUM(D7,E7,F7,G7,H7,I7,J7,K7,L7,M7,N7,O7,P7,Q7,R7,S7,T7,U7,V7,W7,X7,Y7,Z7,AA7,AB7,AC7,AD7,AE7,AF7,AG7,AH7)</f>
        <v>22</v>
      </c>
      <c r="AK7" s="5">
        <f>(AJ7/(AJ3+AJ4))*100</f>
        <v>0.54835493519441669</v>
      </c>
    </row>
    <row r="8" spans="1:37" ht="18.95" customHeight="1" x14ac:dyDescent="0.3">
      <c r="A8" s="104"/>
      <c r="B8" s="106"/>
      <c r="C8" s="61" t="s">
        <v>18</v>
      </c>
      <c r="D8" s="39"/>
      <c r="E8" s="39"/>
      <c r="F8" s="39"/>
      <c r="G8" s="39"/>
      <c r="H8" s="39"/>
      <c r="I8" s="39"/>
      <c r="J8" s="40"/>
      <c r="K8" s="39"/>
      <c r="L8" s="39"/>
      <c r="M8" s="39"/>
      <c r="N8" s="39"/>
      <c r="O8" s="39"/>
      <c r="P8" s="39"/>
      <c r="Q8" s="39"/>
      <c r="R8" s="39"/>
      <c r="S8" s="39"/>
      <c r="T8" s="39"/>
      <c r="U8" s="39">
        <v>9</v>
      </c>
      <c r="V8" s="39"/>
      <c r="W8" s="39"/>
      <c r="X8" s="39"/>
      <c r="Y8" s="39"/>
      <c r="Z8" s="39">
        <v>17</v>
      </c>
      <c r="AA8" s="39"/>
      <c r="AB8" s="39"/>
      <c r="AC8" s="38"/>
      <c r="AD8" s="39"/>
      <c r="AE8" s="40"/>
      <c r="AF8" s="39"/>
      <c r="AG8" s="40"/>
      <c r="AH8" s="39">
        <v>25</v>
      </c>
      <c r="AI8" s="47">
        <f t="shared" si="0"/>
        <v>1.6451612903225807</v>
      </c>
      <c r="AJ8" s="41">
        <f>SUM(D8,E8,F8,G8,H8,I8,J8,K8,L8,M8,N8,O8,P8,Q8,R8,S8,T8,U8,V8,W8,X8,Y8,Z8,AA8,AB8,AC8,AD8,AE8,AF8,AG8,AH8)</f>
        <v>51</v>
      </c>
      <c r="AK8" s="42">
        <f>(AJ8/(AJ3+AJ4))*100</f>
        <v>1.2711864406779663</v>
      </c>
    </row>
    <row r="9" spans="1:37" ht="18.95" customHeight="1" x14ac:dyDescent="0.3">
      <c r="A9" s="104"/>
      <c r="B9" s="106"/>
      <c r="C9" s="59" t="s">
        <v>1</v>
      </c>
      <c r="D9" s="2"/>
      <c r="E9" s="2"/>
      <c r="F9" s="2">
        <v>126</v>
      </c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>
        <v>254</v>
      </c>
      <c r="V9" s="2"/>
      <c r="W9" s="2"/>
      <c r="X9" s="2"/>
      <c r="Y9" s="2"/>
      <c r="Z9" s="2"/>
      <c r="AA9" s="2"/>
      <c r="AB9" s="2"/>
      <c r="AC9" s="21"/>
      <c r="AD9" s="2"/>
      <c r="AE9" s="23"/>
      <c r="AF9" s="2"/>
      <c r="AG9" s="23">
        <v>258</v>
      </c>
      <c r="AH9" s="2"/>
      <c r="AI9" s="43">
        <f t="shared" si="0"/>
        <v>20.580645161290324</v>
      </c>
      <c r="AJ9" s="32">
        <f>SUM(D9,E9,F9,G9,H9,I9,J9,K9,L9,M9,N9,O9,P9,Q9,R9,S9,T9,U9,V9,W9,X9,Y9,Z9,AA9,AB9,AC9,AD9,AE9,AF9,AG9,AH9)</f>
        <v>638</v>
      </c>
      <c r="AK9" s="3">
        <f>(AJ9/(AJ3+AJ4))*100</f>
        <v>15.902293120638086</v>
      </c>
    </row>
    <row r="10" spans="1:37" ht="18.95" customHeight="1" x14ac:dyDescent="0.3">
      <c r="A10" s="104"/>
      <c r="B10" s="106"/>
      <c r="C10" s="60" t="s">
        <v>19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>
        <v>344</v>
      </c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11.096774193548388</v>
      </c>
      <c r="AJ10" s="33">
        <f t="shared" ref="AJ10:AJ14" si="1">SUM(D10,E10,F10,G10,H10,I10,J10,K10,L10,M10,N10,O10,P10,Q10,R10,S10,T10,U10,V10,W10,X10,Y10,Z10,AA10,AB10,AC10,AD10,AE10,AF10,AG10,AH10)</f>
        <v>344</v>
      </c>
      <c r="AK10" s="5">
        <f>(AJ10/(AJ3+AJ4))*100</f>
        <v>8.5742771684945165</v>
      </c>
    </row>
    <row r="11" spans="1:37" ht="18.95" customHeight="1" x14ac:dyDescent="0.3">
      <c r="A11" s="104"/>
      <c r="B11" s="106"/>
      <c r="C11" s="60" t="s">
        <v>20</v>
      </c>
      <c r="D11" s="2"/>
      <c r="E11" s="2"/>
      <c r="F11" s="2"/>
      <c r="G11" s="2"/>
      <c r="H11" s="2"/>
      <c r="I11" s="2"/>
      <c r="J11" s="2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>
        <v>39</v>
      </c>
      <c r="X11" s="2"/>
      <c r="Y11" s="2"/>
      <c r="Z11" s="2"/>
      <c r="AA11" s="2">
        <v>13</v>
      </c>
      <c r="AB11" s="2"/>
      <c r="AC11" s="21"/>
      <c r="AD11" s="2">
        <v>22</v>
      </c>
      <c r="AE11" s="23"/>
      <c r="AF11" s="2"/>
      <c r="AG11" s="23"/>
      <c r="AH11" s="2"/>
      <c r="AI11" s="43">
        <f t="shared" si="0"/>
        <v>2.3870967741935485</v>
      </c>
      <c r="AJ11" s="32">
        <f>SUM(D11,E11,F11,G11,H11,I11,J11,K11,L11,M11,N11,O11,P11,Q11,R11,S11,T11,U11,V11,W11,X11,Y11,Z11,AA11,AB11,AC11,AD11,AE11,AF11,AG11,AH11)</f>
        <v>74</v>
      </c>
      <c r="AK11" s="3">
        <f>(AJ11/(AJ3+AJ4))*100</f>
        <v>1.8444666001994019</v>
      </c>
    </row>
    <row r="12" spans="1:37" ht="18.95" customHeight="1" x14ac:dyDescent="0.3">
      <c r="A12" s="104"/>
      <c r="B12" s="107" t="s">
        <v>21</v>
      </c>
      <c r="C12" s="62" t="s">
        <v>2</v>
      </c>
      <c r="D12" s="6"/>
      <c r="E12" s="6"/>
      <c r="F12" s="6"/>
      <c r="G12" s="6"/>
      <c r="H12" s="6"/>
      <c r="I12" s="6"/>
      <c r="J12" s="26">
        <v>19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>
        <v>60</v>
      </c>
      <c r="Y12" s="6"/>
      <c r="Z12" s="6"/>
      <c r="AA12" s="6">
        <v>24</v>
      </c>
      <c r="AB12" s="6"/>
      <c r="AC12" s="27"/>
      <c r="AD12" s="6"/>
      <c r="AE12" s="26"/>
      <c r="AF12" s="6"/>
      <c r="AG12" s="26"/>
      <c r="AH12" s="6"/>
      <c r="AI12" s="45">
        <f t="shared" si="0"/>
        <v>3.3225806451612905</v>
      </c>
      <c r="AJ12" s="34">
        <f>SUM(D12,E12,F12,G12,H12,I12,J12,K12,L12,M12,N12,O12,P12,Q12,R12,S12,T12,U12,V12,W12,X12,Y12,Z12,AA12,AB12,AC12,AD12,AE12,AF12,AG12,AH12)</f>
        <v>103</v>
      </c>
      <c r="AK12" s="7">
        <f>(AJ12/(AJ3+AJ4))*100</f>
        <v>2.5672981056829509</v>
      </c>
    </row>
    <row r="13" spans="1:37" ht="18.95" customHeight="1" x14ac:dyDescent="0.3">
      <c r="A13" s="104"/>
      <c r="B13" s="108"/>
      <c r="C13" s="62" t="s">
        <v>22</v>
      </c>
      <c r="D13" s="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>
        <v>35</v>
      </c>
      <c r="Y13" s="8"/>
      <c r="Z13" s="8"/>
      <c r="AA13" s="8">
        <v>11</v>
      </c>
      <c r="AB13" s="8"/>
      <c r="AC13" s="28"/>
      <c r="AD13" s="8"/>
      <c r="AE13" s="30"/>
      <c r="AF13" s="8"/>
      <c r="AG13" s="30"/>
      <c r="AH13" s="8"/>
      <c r="AI13" s="46">
        <f t="shared" si="0"/>
        <v>1.4838709677419355</v>
      </c>
      <c r="AJ13" s="35">
        <f>SUM(D13,E13,F13,G13,H13,I13,J13,K13,L13,M13,N13,O13,P13,Q13,R13,S13,T13,U13,V13,W13,X13,Y13,Z13,AA13,AB13,AC13,AD13,AE13,AF13,AG13,AH13)</f>
        <v>46</v>
      </c>
      <c r="AK13" s="9">
        <f>(AJ13/(AJ3+AJ4))*100</f>
        <v>1.1465603190428715</v>
      </c>
    </row>
    <row r="14" spans="1:37" ht="18.95" customHeight="1" x14ac:dyDescent="0.3">
      <c r="A14" s="104"/>
      <c r="B14" s="108"/>
      <c r="C14" s="56" t="s">
        <v>23</v>
      </c>
      <c r="D14" s="6"/>
      <c r="E14" s="6">
        <v>63</v>
      </c>
      <c r="F14" s="6"/>
      <c r="G14" s="6"/>
      <c r="H14" s="6"/>
      <c r="I14" s="6">
        <v>43</v>
      </c>
      <c r="J14" s="26">
        <v>43</v>
      </c>
      <c r="K14" s="6">
        <v>22</v>
      </c>
      <c r="L14" s="6"/>
      <c r="M14" s="6"/>
      <c r="N14" s="6"/>
      <c r="O14" s="6"/>
      <c r="P14" s="6"/>
      <c r="Q14" s="6">
        <v>278</v>
      </c>
      <c r="R14" s="6"/>
      <c r="S14" s="6">
        <v>85</v>
      </c>
      <c r="T14" s="6"/>
      <c r="U14" s="6"/>
      <c r="V14" s="6"/>
      <c r="W14" s="6"/>
      <c r="X14" s="6"/>
      <c r="Y14" s="6"/>
      <c r="Z14" s="6"/>
      <c r="AA14" s="6"/>
      <c r="AB14" s="6"/>
      <c r="AC14" s="27"/>
      <c r="AD14" s="6"/>
      <c r="AE14" s="26">
        <v>129</v>
      </c>
      <c r="AF14" s="6"/>
      <c r="AG14" s="26"/>
      <c r="AH14" s="6"/>
      <c r="AI14" s="45">
        <f t="shared" si="0"/>
        <v>21.387096774193548</v>
      </c>
      <c r="AJ14" s="34">
        <f t="shared" si="1"/>
        <v>663</v>
      </c>
      <c r="AK14" s="7">
        <f>(AJ14/(AJ3+AJ4))*100</f>
        <v>16.525423728813561</v>
      </c>
    </row>
    <row r="15" spans="1:37" ht="18.95" customHeight="1" x14ac:dyDescent="0.3">
      <c r="A15" s="104"/>
      <c r="B15" s="108"/>
      <c r="C15" s="62" t="s">
        <v>24</v>
      </c>
      <c r="D15" s="51"/>
      <c r="E15" s="51">
        <v>126</v>
      </c>
      <c r="F15" s="51"/>
      <c r="G15" s="51"/>
      <c r="H15" s="51"/>
      <c r="I15" s="51"/>
      <c r="J15" s="50">
        <v>22</v>
      </c>
      <c r="K15" s="51"/>
      <c r="L15" s="51"/>
      <c r="M15" s="51"/>
      <c r="N15" s="51"/>
      <c r="O15" s="51"/>
      <c r="P15" s="51">
        <v>22</v>
      </c>
      <c r="Q15" s="51"/>
      <c r="R15" s="51">
        <v>43</v>
      </c>
      <c r="S15" s="51"/>
      <c r="T15" s="51"/>
      <c r="U15" s="51"/>
      <c r="V15" s="51"/>
      <c r="W15" s="51">
        <v>43</v>
      </c>
      <c r="X15" s="51"/>
      <c r="Y15" s="51">
        <v>43</v>
      </c>
      <c r="Z15" s="51">
        <v>65</v>
      </c>
      <c r="AA15" s="51"/>
      <c r="AB15" s="51">
        <v>43</v>
      </c>
      <c r="AC15" s="52"/>
      <c r="AD15" s="51"/>
      <c r="AE15" s="50"/>
      <c r="AF15" s="51"/>
      <c r="AG15" s="50"/>
      <c r="AH15" s="51"/>
      <c r="AI15" s="45">
        <f t="shared" si="0"/>
        <v>13.129032258064516</v>
      </c>
      <c r="AJ15" s="34">
        <f>SUM(D15,E15,F15,G15,H15,I15,J15,K15,L15,M15,N15,O15,P15,Q15,R15,S15,T15,U15,V15,W15,X15,Y15,Z15,AA15,AB15,AC15,AD15,AE15,AF15,AG15,AH15)</f>
        <v>407</v>
      </c>
      <c r="AK15" s="7">
        <f>(AJ15/(AJ3+AJ4))*100</f>
        <v>10.14456630109671</v>
      </c>
    </row>
    <row r="16" spans="1:37" ht="18.399999999999999" customHeight="1" x14ac:dyDescent="0.3">
      <c r="A16" s="105"/>
      <c r="B16" s="94" t="s">
        <v>25</v>
      </c>
      <c r="C16" s="95"/>
      <c r="D16" s="66"/>
      <c r="E16" s="94">
        <f>SUM(E5:K15)</f>
        <v>599</v>
      </c>
      <c r="F16" s="95"/>
      <c r="G16" s="95"/>
      <c r="H16" s="95"/>
      <c r="I16" s="95"/>
      <c r="J16" s="95"/>
      <c r="K16" s="96"/>
      <c r="L16" s="94">
        <f>SUM(L5:R15)</f>
        <v>572</v>
      </c>
      <c r="M16" s="95"/>
      <c r="N16" s="95"/>
      <c r="O16" s="95"/>
      <c r="P16" s="95"/>
      <c r="Q16" s="95"/>
      <c r="R16" s="96"/>
      <c r="S16" s="94">
        <f>SUM(S5:Y15)</f>
        <v>1173</v>
      </c>
      <c r="T16" s="95"/>
      <c r="U16" s="95"/>
      <c r="V16" s="95"/>
      <c r="W16" s="95"/>
      <c r="X16" s="95"/>
      <c r="Y16" s="96"/>
      <c r="Z16" s="94">
        <f>SUM(Z5:AF15)</f>
        <v>848</v>
      </c>
      <c r="AA16" s="95"/>
      <c r="AB16" s="95"/>
      <c r="AC16" s="95"/>
      <c r="AD16" s="95"/>
      <c r="AE16" s="95"/>
      <c r="AF16" s="96"/>
      <c r="AG16" s="63"/>
      <c r="AH16" s="64"/>
      <c r="AI16" s="53">
        <f>AJ16/31</f>
        <v>116.25806451612904</v>
      </c>
      <c r="AJ16" s="49">
        <f>SUM(AJ5,AJ6,AJ7,AJ8,AJ9,AJ10,AJ11,AJ12,AJ13,AJ14,AJ15)</f>
        <v>3604</v>
      </c>
      <c r="AK16" s="10">
        <f>SUM(AK5,AK6,AK7,AK8,AK9,AK10,AK11,AK12,AK13,AK14,AK15)</f>
        <v>89.830508474576277</v>
      </c>
    </row>
    <row r="17" spans="1:37" ht="18" customHeight="1" x14ac:dyDescent="0.3">
      <c r="A17" s="97" t="s">
        <v>26</v>
      </c>
      <c r="B17" s="97"/>
      <c r="C17" s="109"/>
      <c r="D17" s="98">
        <v>10654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100"/>
      <c r="AJ17" s="101"/>
      <c r="AK17" s="65"/>
    </row>
    <row r="18" spans="1:37" ht="18" customHeight="1" x14ac:dyDescent="0.3">
      <c r="A18" s="89" t="s">
        <v>27</v>
      </c>
      <c r="B18" s="89"/>
      <c r="C18" s="90"/>
      <c r="D18" s="102">
        <f>(AJ3+AJ4)-AJ16</f>
        <v>408</v>
      </c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1"/>
      <c r="AK18" s="31">
        <f>((AJ3+AJ4-AJ16)/(AJ3+AJ4))*100</f>
        <v>10.16949152542373</v>
      </c>
    </row>
    <row r="19" spans="1:37" ht="18" customHeight="1" x14ac:dyDescent="0.3">
      <c r="A19" s="88" t="s">
        <v>28</v>
      </c>
      <c r="B19" s="89"/>
      <c r="C19" s="90"/>
      <c r="D19" s="91">
        <f>(AJ3+AJ4+D17)-AJ16</f>
        <v>11062</v>
      </c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3"/>
      <c r="AK19" s="54"/>
    </row>
    <row r="24" spans="1:37" x14ac:dyDescent="0.3">
      <c r="S24" s="1" t="s">
        <v>10</v>
      </c>
    </row>
  </sheetData>
  <mergeCells count="21">
    <mergeCell ref="A19:C19"/>
    <mergeCell ref="D19:AJ19"/>
    <mergeCell ref="E16:K16"/>
    <mergeCell ref="L16:R16"/>
    <mergeCell ref="S16:Y16"/>
    <mergeCell ref="Z16:AF16"/>
    <mergeCell ref="A17:C17"/>
    <mergeCell ref="D17:AJ17"/>
    <mergeCell ref="A18:C18"/>
    <mergeCell ref="D18:AJ18"/>
    <mergeCell ref="A5:A16"/>
    <mergeCell ref="B5:B11"/>
    <mergeCell ref="B12:B15"/>
    <mergeCell ref="B16:C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4"/>
  <sheetViews>
    <sheetView zoomScale="80" zoomScaleNormal="80" workbookViewId="0">
      <selection activeCell="AI1" sqref="AI1:AJ2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8554687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70"/>
      <c r="B1" s="70"/>
      <c r="C1" s="71"/>
      <c r="D1" s="37" t="s">
        <v>6</v>
      </c>
      <c r="E1" s="36" t="s">
        <v>5</v>
      </c>
      <c r="F1" s="36" t="s">
        <v>4</v>
      </c>
      <c r="G1" s="36" t="s">
        <v>3</v>
      </c>
      <c r="H1" s="37" t="s">
        <v>29</v>
      </c>
      <c r="I1" s="55" t="s">
        <v>8</v>
      </c>
      <c r="J1" s="36" t="s">
        <v>7</v>
      </c>
      <c r="K1" s="37" t="s">
        <v>6</v>
      </c>
      <c r="L1" s="36" t="s">
        <v>5</v>
      </c>
      <c r="M1" s="36" t="s">
        <v>4</v>
      </c>
      <c r="N1" s="36" t="s">
        <v>3</v>
      </c>
      <c r="O1" s="37" t="s">
        <v>29</v>
      </c>
      <c r="P1" s="55" t="s">
        <v>8</v>
      </c>
      <c r="Q1" s="36" t="s">
        <v>7</v>
      </c>
      <c r="R1" s="37" t="s">
        <v>6</v>
      </c>
      <c r="S1" s="36" t="s">
        <v>5</v>
      </c>
      <c r="T1" s="36" t="s">
        <v>4</v>
      </c>
      <c r="U1" s="36" t="s">
        <v>3</v>
      </c>
      <c r="V1" s="37" t="s">
        <v>29</v>
      </c>
      <c r="W1" s="55" t="s">
        <v>8</v>
      </c>
      <c r="X1" s="36" t="s">
        <v>7</v>
      </c>
      <c r="Y1" s="37" t="s">
        <v>6</v>
      </c>
      <c r="Z1" s="36" t="s">
        <v>5</v>
      </c>
      <c r="AA1" s="36" t="s">
        <v>4</v>
      </c>
      <c r="AB1" s="36" t="s">
        <v>3</v>
      </c>
      <c r="AC1" s="37" t="s">
        <v>29</v>
      </c>
      <c r="AD1" s="55" t="s">
        <v>8</v>
      </c>
      <c r="AE1" s="36" t="s">
        <v>7</v>
      </c>
      <c r="AF1" s="37"/>
      <c r="AG1" s="36"/>
      <c r="AH1" s="36"/>
      <c r="AI1" s="74" t="s">
        <v>30</v>
      </c>
      <c r="AJ1" s="76" t="s">
        <v>31</v>
      </c>
      <c r="AK1" s="78" t="s">
        <v>9</v>
      </c>
    </row>
    <row r="2" spans="1:37" ht="18.95" customHeight="1" x14ac:dyDescent="0.3">
      <c r="A2" s="72"/>
      <c r="B2" s="72"/>
      <c r="C2" s="73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75"/>
      <c r="AJ2" s="77"/>
      <c r="AK2" s="79"/>
    </row>
    <row r="3" spans="1:37" ht="18.95" customHeight="1" x14ac:dyDescent="0.3">
      <c r="A3" s="80" t="s">
        <v>11</v>
      </c>
      <c r="B3" s="81"/>
      <c r="C3" s="57" t="s">
        <v>0</v>
      </c>
      <c r="D3" s="14"/>
      <c r="E3" s="15"/>
      <c r="F3" s="15"/>
      <c r="G3" s="15"/>
      <c r="H3" s="15"/>
      <c r="I3" s="18"/>
      <c r="J3" s="16"/>
      <c r="K3" s="15">
        <v>2482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>
        <v>589</v>
      </c>
      <c r="Y3" s="15">
        <v>1760</v>
      </c>
      <c r="Z3" s="15"/>
      <c r="AA3" s="15"/>
      <c r="AB3" s="15"/>
      <c r="AC3" s="14"/>
      <c r="AD3" s="15"/>
      <c r="AE3" s="17"/>
      <c r="AF3" s="15"/>
      <c r="AG3" s="17"/>
      <c r="AH3" s="15"/>
      <c r="AI3" s="84">
        <f>(AJ3+AJ4)/31</f>
        <v>155.83870967741936</v>
      </c>
      <c r="AJ3" s="48">
        <f>SUM(D3:AH3)</f>
        <v>4831</v>
      </c>
      <c r="AK3" s="86">
        <v>100</v>
      </c>
    </row>
    <row r="4" spans="1:37" ht="18.95" customHeight="1" x14ac:dyDescent="0.3">
      <c r="A4" s="82"/>
      <c r="B4" s="83"/>
      <c r="C4" s="58" t="s">
        <v>12</v>
      </c>
      <c r="D4" s="18"/>
      <c r="E4" s="18"/>
      <c r="F4" s="18"/>
      <c r="G4" s="18"/>
      <c r="H4" s="18"/>
      <c r="I4" s="18"/>
      <c r="J4" s="19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20"/>
      <c r="AD4" s="18"/>
      <c r="AE4" s="19"/>
      <c r="AF4" s="18"/>
      <c r="AG4" s="19"/>
      <c r="AH4" s="18"/>
      <c r="AI4" s="85"/>
      <c r="AJ4" s="48">
        <f>SUM(D4:AH4)</f>
        <v>0</v>
      </c>
      <c r="AK4" s="87"/>
    </row>
    <row r="5" spans="1:37" ht="18.95" customHeight="1" x14ac:dyDescent="0.3">
      <c r="A5" s="103" t="s">
        <v>13</v>
      </c>
      <c r="B5" s="106" t="s">
        <v>14</v>
      </c>
      <c r="C5" s="59" t="s">
        <v>15</v>
      </c>
      <c r="D5" s="2">
        <v>13</v>
      </c>
      <c r="E5" s="2">
        <v>3</v>
      </c>
      <c r="F5" s="2"/>
      <c r="G5" s="2"/>
      <c r="H5" s="2"/>
      <c r="I5" s="2">
        <v>4</v>
      </c>
      <c r="J5" s="22"/>
      <c r="K5" s="2">
        <v>27</v>
      </c>
      <c r="L5" s="2"/>
      <c r="M5" s="2"/>
      <c r="N5" s="2"/>
      <c r="O5" s="2">
        <v>31</v>
      </c>
      <c r="P5" s="2">
        <v>49</v>
      </c>
      <c r="Q5" s="2">
        <v>6</v>
      </c>
      <c r="R5" s="2"/>
      <c r="S5" s="2">
        <v>98</v>
      </c>
      <c r="T5" s="2"/>
      <c r="U5" s="2"/>
      <c r="V5" s="2">
        <v>26</v>
      </c>
      <c r="W5" s="2"/>
      <c r="X5" s="2"/>
      <c r="Y5" s="2">
        <v>39</v>
      </c>
      <c r="Z5" s="2">
        <v>9</v>
      </c>
      <c r="AA5" s="2">
        <v>14</v>
      </c>
      <c r="AB5" s="2">
        <v>131</v>
      </c>
      <c r="AC5" s="21">
        <v>5</v>
      </c>
      <c r="AD5" s="2">
        <v>4</v>
      </c>
      <c r="AE5" s="23">
        <v>26</v>
      </c>
      <c r="AF5" s="2"/>
      <c r="AG5" s="23"/>
      <c r="AH5" s="2"/>
      <c r="AI5" s="43">
        <f t="shared" ref="AI5:AI15" si="0">AJ5/31</f>
        <v>15.64516129032258</v>
      </c>
      <c r="AJ5" s="32">
        <f>SUM(D5,E5,F5,G5,H5,I5,J5,K5,L5,M5,N5,O5,P5,Q5,R5,S5,T5,U5,V5,W5,X5,Y5,Z5,AA5,AB5,AC5,AD5,AE5,AF5,AG5,AH5)</f>
        <v>485</v>
      </c>
      <c r="AK5" s="3">
        <f>(AJ5/(AJ3+AJ4))*100</f>
        <v>10.039329331401365</v>
      </c>
    </row>
    <row r="6" spans="1:37" ht="18.95" customHeight="1" x14ac:dyDescent="0.3">
      <c r="A6" s="104"/>
      <c r="B6" s="106"/>
      <c r="C6" s="60" t="s">
        <v>16</v>
      </c>
      <c r="D6" s="4">
        <v>7</v>
      </c>
      <c r="E6" s="4"/>
      <c r="F6" s="4">
        <v>22</v>
      </c>
      <c r="G6" s="4"/>
      <c r="H6" s="4"/>
      <c r="I6" s="4">
        <v>29</v>
      </c>
      <c r="J6" s="24"/>
      <c r="K6" s="4">
        <v>22</v>
      </c>
      <c r="L6" s="4">
        <v>10</v>
      </c>
      <c r="M6" s="4"/>
      <c r="N6" s="4"/>
      <c r="O6" s="4"/>
      <c r="P6" s="4">
        <v>20</v>
      </c>
      <c r="Q6" s="4"/>
      <c r="R6" s="4"/>
      <c r="S6" s="4">
        <v>7</v>
      </c>
      <c r="T6" s="4">
        <v>30</v>
      </c>
      <c r="U6" s="4"/>
      <c r="V6" s="4">
        <v>47</v>
      </c>
      <c r="W6" s="4">
        <v>25</v>
      </c>
      <c r="X6" s="4"/>
      <c r="Y6" s="4"/>
      <c r="Z6" s="4">
        <v>7</v>
      </c>
      <c r="AA6" s="4">
        <v>4</v>
      </c>
      <c r="AB6" s="4"/>
      <c r="AC6" s="25"/>
      <c r="AD6" s="4"/>
      <c r="AE6" s="24"/>
      <c r="AF6" s="4"/>
      <c r="AG6" s="24"/>
      <c r="AH6" s="4"/>
      <c r="AI6" s="44">
        <f t="shared" si="0"/>
        <v>7.419354838709677</v>
      </c>
      <c r="AJ6" s="33">
        <f>SUM(D6,E6,F6,G6,H6,I6,J6,K6,L6,M6,N6,O6,P6,Q6,R6,S6,T6,U6,V6,W6,X6,Y6,Z6,AA6,AB6,AC6,AD6,AE6,AF6,AG6,AH6)</f>
        <v>230</v>
      </c>
      <c r="AK6" s="5">
        <f>(AJ6/(AJ3+AJ4))*100</f>
        <v>4.7609190643759058</v>
      </c>
    </row>
    <row r="7" spans="1:37" ht="18.95" customHeight="1" x14ac:dyDescent="0.3">
      <c r="A7" s="104"/>
      <c r="B7" s="106"/>
      <c r="C7" s="60" t="s">
        <v>17</v>
      </c>
      <c r="D7" s="4">
        <v>13</v>
      </c>
      <c r="E7" s="4"/>
      <c r="F7" s="4"/>
      <c r="G7" s="4"/>
      <c r="H7" s="4"/>
      <c r="I7" s="4"/>
      <c r="J7" s="24"/>
      <c r="K7" s="4"/>
      <c r="L7" s="4"/>
      <c r="M7" s="4">
        <v>215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7.354838709677419</v>
      </c>
      <c r="AJ7" s="33">
        <f>SUM(D7,E7,F7,G7,H7,I7,J7,K7,L7,M7,N7,O7,P7,Q7,R7,S7,T7,U7,V7,W7,X7,Y7,Z7,AA7,AB7,AC7,AD7,AE7,AF7,AG7,AH7)</f>
        <v>228</v>
      </c>
      <c r="AK7" s="5">
        <f>(AJ7/(AJ3+AJ4))*100</f>
        <v>4.7195197681639414</v>
      </c>
    </row>
    <row r="8" spans="1:37" ht="18.95" customHeight="1" x14ac:dyDescent="0.3">
      <c r="A8" s="104"/>
      <c r="B8" s="106"/>
      <c r="C8" s="61" t="s">
        <v>18</v>
      </c>
      <c r="D8" s="39"/>
      <c r="E8" s="39"/>
      <c r="F8" s="39">
        <v>10</v>
      </c>
      <c r="G8" s="39">
        <v>13</v>
      </c>
      <c r="H8" s="39"/>
      <c r="I8" s="39"/>
      <c r="J8" s="40"/>
      <c r="K8" s="39">
        <v>109</v>
      </c>
      <c r="L8" s="39"/>
      <c r="M8" s="39"/>
      <c r="N8" s="39"/>
      <c r="O8" s="39"/>
      <c r="P8" s="39"/>
      <c r="Q8" s="39"/>
      <c r="R8" s="39"/>
      <c r="S8" s="39">
        <v>11</v>
      </c>
      <c r="T8" s="39"/>
      <c r="U8" s="39"/>
      <c r="V8" s="39"/>
      <c r="W8" s="39"/>
      <c r="X8" s="39"/>
      <c r="Y8" s="39"/>
      <c r="Z8" s="39">
        <v>3</v>
      </c>
      <c r="AA8" s="39"/>
      <c r="AB8" s="39"/>
      <c r="AC8" s="38"/>
      <c r="AD8" s="39"/>
      <c r="AE8" s="40"/>
      <c r="AF8" s="39"/>
      <c r="AG8" s="40"/>
      <c r="AH8" s="39"/>
      <c r="AI8" s="47">
        <f t="shared" si="0"/>
        <v>4.709677419354839</v>
      </c>
      <c r="AJ8" s="41">
        <f>SUM(D8,E8,F8,G8,H8,I8,J8,K8,L8,M8,N8,O8,P8,Q8,R8,S8,T8,U8,V8,W8,X8,Y8,Z8,AA8,AB8,AC8,AD8,AE8,AF8,AG8,AH8)</f>
        <v>146</v>
      </c>
      <c r="AK8" s="42">
        <f>(AJ8/(AJ3+AJ4))*100</f>
        <v>3.022148623473401</v>
      </c>
    </row>
    <row r="9" spans="1:37" ht="18.95" customHeight="1" x14ac:dyDescent="0.3">
      <c r="A9" s="104"/>
      <c r="B9" s="106"/>
      <c r="C9" s="59" t="s">
        <v>1</v>
      </c>
      <c r="D9" s="2"/>
      <c r="E9" s="2"/>
      <c r="F9" s="2"/>
      <c r="G9" s="2"/>
      <c r="H9" s="2"/>
      <c r="I9" s="2"/>
      <c r="J9" s="22"/>
      <c r="K9" s="2"/>
      <c r="L9" s="2">
        <v>531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/>
      <c r="AE9" s="23"/>
      <c r="AF9" s="2"/>
      <c r="AG9" s="23"/>
      <c r="AH9" s="2"/>
      <c r="AI9" s="43">
        <f t="shared" si="0"/>
        <v>17.129032258064516</v>
      </c>
      <c r="AJ9" s="32">
        <f>SUM(D9,E9,F9,G9,H9,I9,J9,K9,L9,M9,N9,O9,P9,Q9,R9,S9,T9,U9,V9,W9,X9,Y9,Z9,AA9,AB9,AC9,AD9,AE9,AF9,AG9,AH9)</f>
        <v>531</v>
      </c>
      <c r="AK9" s="3">
        <f>(AJ9/(AJ3+AJ4))*100</f>
        <v>10.991513144276547</v>
      </c>
    </row>
    <row r="10" spans="1:37" ht="18.95" customHeight="1" x14ac:dyDescent="0.3">
      <c r="A10" s="104"/>
      <c r="B10" s="106"/>
      <c r="C10" s="60" t="s">
        <v>19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104"/>
      <c r="B11" s="106"/>
      <c r="C11" s="60" t="s">
        <v>20</v>
      </c>
      <c r="D11" s="2"/>
      <c r="E11" s="2"/>
      <c r="F11" s="2"/>
      <c r="G11" s="2"/>
      <c r="H11" s="2"/>
      <c r="I11" s="2"/>
      <c r="J11" s="22"/>
      <c r="K11" s="2"/>
      <c r="L11" s="2">
        <v>80</v>
      </c>
      <c r="M11" s="2"/>
      <c r="N11" s="2"/>
      <c r="O11" s="2"/>
      <c r="P11" s="2"/>
      <c r="Q11" s="2"/>
      <c r="R11" s="2"/>
      <c r="S11" s="2">
        <v>5</v>
      </c>
      <c r="T11" s="2"/>
      <c r="U11" s="2"/>
      <c r="V11" s="2"/>
      <c r="W11" s="2"/>
      <c r="X11" s="2"/>
      <c r="Y11" s="2"/>
      <c r="Z11" s="2"/>
      <c r="AA11" s="2"/>
      <c r="AB11" s="2"/>
      <c r="AC11" s="21"/>
      <c r="AD11" s="2"/>
      <c r="AE11" s="23"/>
      <c r="AF11" s="2"/>
      <c r="AG11" s="23"/>
      <c r="AH11" s="2"/>
      <c r="AI11" s="43">
        <f t="shared" si="0"/>
        <v>2.7419354838709675</v>
      </c>
      <c r="AJ11" s="32">
        <f>SUM(D11,E11,F11,G11,H11,I11,J11,K11,L11,M11,N11,O11,P11,Q11,R11,S11,T11,U11,V11,W11,X11,Y11,Z11,AA11,AB11,AC11,AD11,AE11,AF11,AG11,AH11)</f>
        <v>85</v>
      </c>
      <c r="AK11" s="3">
        <f>(AJ11/(AJ3+AJ4))*100</f>
        <v>1.7594700890084869</v>
      </c>
    </row>
    <row r="12" spans="1:37" ht="18.95" customHeight="1" x14ac:dyDescent="0.3">
      <c r="A12" s="104"/>
      <c r="B12" s="107" t="s">
        <v>21</v>
      </c>
      <c r="C12" s="62" t="s">
        <v>2</v>
      </c>
      <c r="D12" s="6"/>
      <c r="E12" s="6"/>
      <c r="F12" s="6">
        <v>56</v>
      </c>
      <c r="G12" s="6"/>
      <c r="H12" s="6"/>
      <c r="I12" s="6"/>
      <c r="J12" s="26"/>
      <c r="K12" s="6"/>
      <c r="L12" s="6"/>
      <c r="M12" s="6">
        <v>38</v>
      </c>
      <c r="N12" s="6"/>
      <c r="O12" s="6"/>
      <c r="P12" s="6"/>
      <c r="Q12" s="6">
        <v>20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27">
        <v>41</v>
      </c>
      <c r="AD12" s="6"/>
      <c r="AE12" s="26"/>
      <c r="AF12" s="6"/>
      <c r="AG12" s="26"/>
      <c r="AH12" s="6"/>
      <c r="AI12" s="45">
        <f t="shared" si="0"/>
        <v>5</v>
      </c>
      <c r="AJ12" s="34">
        <f>SUM(D12,E12,F12,G12,H12,I12,J12,K12,L12,M12,N12,O12,P12,Q12,R12,S12,T12,U12,V12,W12,X12,Y12,Z12,AA12,AB12,AC12,AD12,AE12,AF12,AG12,AH12)</f>
        <v>155</v>
      </c>
      <c r="AK12" s="7">
        <f>(AJ12/(AJ3+AJ4))*100</f>
        <v>3.2084454564272407</v>
      </c>
    </row>
    <row r="13" spans="1:37" ht="18.95" customHeight="1" x14ac:dyDescent="0.3">
      <c r="A13" s="104"/>
      <c r="B13" s="108"/>
      <c r="C13" s="62" t="s">
        <v>22</v>
      </c>
      <c r="D13" s="8"/>
      <c r="E13" s="8"/>
      <c r="F13" s="8">
        <v>30</v>
      </c>
      <c r="G13" s="8"/>
      <c r="H13" s="8"/>
      <c r="I13" s="8"/>
      <c r="J13" s="2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>
        <v>10</v>
      </c>
      <c r="AB13" s="8"/>
      <c r="AC13" s="28">
        <v>11</v>
      </c>
      <c r="AD13" s="8"/>
      <c r="AE13" s="30"/>
      <c r="AF13" s="8"/>
      <c r="AG13" s="30"/>
      <c r="AH13" s="8"/>
      <c r="AI13" s="46">
        <f t="shared" si="0"/>
        <v>1.6451612903225807</v>
      </c>
      <c r="AJ13" s="35">
        <f>SUM(D13,E13,F13,G13,H13,I13,J13,K13,L13,M13,N13,O13,P13,Q13,R13,S13,T13,U13,V13,W13,X13,Y13,Z13,AA13,AB13,AC13,AD13,AE13,AF13,AG13,AH13)</f>
        <v>51</v>
      </c>
      <c r="AK13" s="9">
        <f>(AJ13/(AJ3+AJ4))*100</f>
        <v>1.0556820534050921</v>
      </c>
    </row>
    <row r="14" spans="1:37" ht="18.95" customHeight="1" x14ac:dyDescent="0.3">
      <c r="A14" s="104"/>
      <c r="B14" s="108"/>
      <c r="C14" s="56" t="s">
        <v>23</v>
      </c>
      <c r="D14" s="6"/>
      <c r="E14" s="6"/>
      <c r="F14" s="6"/>
      <c r="G14" s="6">
        <v>645</v>
      </c>
      <c r="H14" s="6">
        <v>22</v>
      </c>
      <c r="I14" s="6"/>
      <c r="J14" s="26"/>
      <c r="K14" s="6"/>
      <c r="L14" s="6"/>
      <c r="M14" s="6"/>
      <c r="N14" s="6"/>
      <c r="O14" s="6"/>
      <c r="P14" s="6">
        <v>645</v>
      </c>
      <c r="Q14" s="6"/>
      <c r="R14" s="6"/>
      <c r="S14" s="6"/>
      <c r="T14" s="6"/>
      <c r="U14" s="6">
        <v>215</v>
      </c>
      <c r="V14" s="6"/>
      <c r="W14" s="6"/>
      <c r="X14" s="6"/>
      <c r="Y14" s="6"/>
      <c r="Z14" s="6">
        <v>142</v>
      </c>
      <c r="AA14" s="6"/>
      <c r="AB14" s="6"/>
      <c r="AC14" s="27"/>
      <c r="AD14" s="6"/>
      <c r="AE14" s="26"/>
      <c r="AF14" s="6"/>
      <c r="AG14" s="26"/>
      <c r="AH14" s="6"/>
      <c r="AI14" s="45">
        <f t="shared" si="0"/>
        <v>53.838709677419352</v>
      </c>
      <c r="AJ14" s="34">
        <f t="shared" si="1"/>
        <v>1669</v>
      </c>
      <c r="AK14" s="7">
        <f>(AJ14/(AJ3+AJ4))*100</f>
        <v>34.547712688884289</v>
      </c>
    </row>
    <row r="15" spans="1:37" ht="18.95" customHeight="1" x14ac:dyDescent="0.3">
      <c r="A15" s="104"/>
      <c r="B15" s="108"/>
      <c r="C15" s="62" t="s">
        <v>24</v>
      </c>
      <c r="D15" s="51"/>
      <c r="E15" s="51"/>
      <c r="F15" s="51">
        <v>30</v>
      </c>
      <c r="G15" s="51">
        <v>58</v>
      </c>
      <c r="H15" s="51"/>
      <c r="I15" s="51"/>
      <c r="J15" s="50"/>
      <c r="K15" s="51"/>
      <c r="L15" s="51"/>
      <c r="M15" s="51">
        <v>150</v>
      </c>
      <c r="N15" s="51"/>
      <c r="O15" s="51"/>
      <c r="P15" s="51">
        <v>40</v>
      </c>
      <c r="Q15" s="51"/>
      <c r="R15" s="51"/>
      <c r="S15" s="51"/>
      <c r="T15" s="51"/>
      <c r="U15" s="51"/>
      <c r="V15" s="51">
        <v>86</v>
      </c>
      <c r="W15" s="51"/>
      <c r="X15" s="51"/>
      <c r="Y15" s="51"/>
      <c r="Z15" s="51">
        <v>43</v>
      </c>
      <c r="AA15" s="51"/>
      <c r="AB15" s="51">
        <v>65</v>
      </c>
      <c r="AC15" s="52"/>
      <c r="AD15" s="51"/>
      <c r="AE15" s="50"/>
      <c r="AF15" s="51"/>
      <c r="AG15" s="50"/>
      <c r="AH15" s="51"/>
      <c r="AI15" s="45">
        <f t="shared" si="0"/>
        <v>15.225806451612904</v>
      </c>
      <c r="AJ15" s="34">
        <f>SUM(D15,E15,F15,G15,H15,I15,J15,K15,L15,M15,N15,O15,P15,Q15,R15,S15,T15,U15,V15,W15,X15,Y15,Z15,AA15,AB15,AC15,AD15,AE15,AF15,AG15,AH15)</f>
        <v>472</v>
      </c>
      <c r="AK15" s="7">
        <f>(AJ15/(AJ3+AJ4))*100</f>
        <v>9.7702339060235985</v>
      </c>
    </row>
    <row r="16" spans="1:37" ht="18.399999999999999" customHeight="1" x14ac:dyDescent="0.3">
      <c r="A16" s="105"/>
      <c r="B16" s="94" t="s">
        <v>25</v>
      </c>
      <c r="C16" s="95"/>
      <c r="D16" s="94">
        <f>SUM(D5:H15)</f>
        <v>922</v>
      </c>
      <c r="E16" s="95"/>
      <c r="F16" s="95"/>
      <c r="G16" s="95"/>
      <c r="H16" s="96"/>
      <c r="I16" s="94">
        <f>SUM(I5:O15)</f>
        <v>1246</v>
      </c>
      <c r="J16" s="95"/>
      <c r="K16" s="95"/>
      <c r="L16" s="95"/>
      <c r="M16" s="95"/>
      <c r="N16" s="95"/>
      <c r="O16" s="96"/>
      <c r="P16" s="94">
        <f>SUM(P5:V15)</f>
        <v>1305</v>
      </c>
      <c r="Q16" s="95"/>
      <c r="R16" s="95"/>
      <c r="S16" s="95"/>
      <c r="T16" s="95"/>
      <c r="U16" s="95"/>
      <c r="V16" s="96"/>
      <c r="W16" s="94">
        <f>SUM(W5:AC15)</f>
        <v>549</v>
      </c>
      <c r="X16" s="95"/>
      <c r="Y16" s="95"/>
      <c r="Z16" s="95"/>
      <c r="AA16" s="95"/>
      <c r="AB16" s="95"/>
      <c r="AC16" s="96"/>
      <c r="AD16" s="94">
        <f>SUM(AD5:AE15)</f>
        <v>30</v>
      </c>
      <c r="AE16" s="96"/>
      <c r="AF16" s="63"/>
      <c r="AG16" s="63"/>
      <c r="AH16" s="64"/>
      <c r="AI16" s="53">
        <f>AJ16/31</f>
        <v>130.70967741935485</v>
      </c>
      <c r="AJ16" s="49">
        <f>SUM(AJ5,AJ6,AJ7,AJ8,AJ9,AJ10,AJ11,AJ12,AJ13,AJ14,AJ15)</f>
        <v>4052</v>
      </c>
      <c r="AK16" s="10">
        <f>SUM(AK5,AK6,AK7,AK8,AK9,AK10,AK11,AK12,AK13,AK14,AK15)</f>
        <v>83.874974125439877</v>
      </c>
    </row>
    <row r="17" spans="1:37" ht="18" customHeight="1" x14ac:dyDescent="0.3">
      <c r="A17" s="97" t="s">
        <v>26</v>
      </c>
      <c r="B17" s="97"/>
      <c r="C17" s="109"/>
      <c r="D17" s="98">
        <v>11062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100"/>
      <c r="AJ17" s="101"/>
      <c r="AK17" s="67"/>
    </row>
    <row r="18" spans="1:37" ht="18" customHeight="1" x14ac:dyDescent="0.3">
      <c r="A18" s="89" t="s">
        <v>27</v>
      </c>
      <c r="B18" s="89"/>
      <c r="C18" s="90"/>
      <c r="D18" s="102">
        <f>(AJ3+AJ4)-AJ16</f>
        <v>779</v>
      </c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1"/>
      <c r="AK18" s="31">
        <f>((AJ3+AJ4-AJ16)/(AJ3+AJ4))*100</f>
        <v>16.125025874560134</v>
      </c>
    </row>
    <row r="19" spans="1:37" ht="18" customHeight="1" x14ac:dyDescent="0.3">
      <c r="A19" s="88" t="s">
        <v>28</v>
      </c>
      <c r="B19" s="89"/>
      <c r="C19" s="90"/>
      <c r="D19" s="91">
        <f>(AJ3+AJ4+D17)-AJ16</f>
        <v>11841</v>
      </c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3"/>
      <c r="AK19" s="54"/>
    </row>
    <row r="24" spans="1:37" x14ac:dyDescent="0.3">
      <c r="S24" s="1" t="s">
        <v>10</v>
      </c>
    </row>
  </sheetData>
  <mergeCells count="22">
    <mergeCell ref="A19:C19"/>
    <mergeCell ref="D19:AJ19"/>
    <mergeCell ref="D16:H16"/>
    <mergeCell ref="I16:O16"/>
    <mergeCell ref="A5:A16"/>
    <mergeCell ref="B5:B11"/>
    <mergeCell ref="B12:B15"/>
    <mergeCell ref="P16:V16"/>
    <mergeCell ref="W16:AC16"/>
    <mergeCell ref="AD16:AE16"/>
    <mergeCell ref="A17:C17"/>
    <mergeCell ref="D17:AJ17"/>
    <mergeCell ref="A18:C18"/>
    <mergeCell ref="D18:AJ18"/>
    <mergeCell ref="B16:C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4"/>
  <sheetViews>
    <sheetView zoomScale="80" zoomScaleNormal="80" workbookViewId="0">
      <selection activeCell="AI1" sqref="AI1:AJ2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2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70"/>
      <c r="B1" s="70"/>
      <c r="C1" s="71"/>
      <c r="D1" s="37" t="s">
        <v>6</v>
      </c>
      <c r="E1" s="36" t="s">
        <v>5</v>
      </c>
      <c r="F1" s="36" t="s">
        <v>4</v>
      </c>
      <c r="G1" s="36" t="s">
        <v>3</v>
      </c>
      <c r="H1" s="37" t="s">
        <v>29</v>
      </c>
      <c r="I1" s="55" t="s">
        <v>8</v>
      </c>
      <c r="J1" s="36" t="s">
        <v>7</v>
      </c>
      <c r="K1" s="37" t="s">
        <v>6</v>
      </c>
      <c r="L1" s="36" t="s">
        <v>5</v>
      </c>
      <c r="M1" s="36" t="s">
        <v>4</v>
      </c>
      <c r="N1" s="36" t="s">
        <v>3</v>
      </c>
      <c r="O1" s="37" t="s">
        <v>29</v>
      </c>
      <c r="P1" s="55" t="s">
        <v>8</v>
      </c>
      <c r="Q1" s="36" t="s">
        <v>7</v>
      </c>
      <c r="R1" s="37" t="s">
        <v>6</v>
      </c>
      <c r="S1" s="36" t="s">
        <v>5</v>
      </c>
      <c r="T1" s="36" t="s">
        <v>4</v>
      </c>
      <c r="U1" s="36" t="s">
        <v>3</v>
      </c>
      <c r="V1" s="37" t="s">
        <v>29</v>
      </c>
      <c r="W1" s="55" t="s">
        <v>8</v>
      </c>
      <c r="X1" s="36" t="s">
        <v>7</v>
      </c>
      <c r="Y1" s="37" t="s">
        <v>6</v>
      </c>
      <c r="Z1" s="36" t="s">
        <v>5</v>
      </c>
      <c r="AA1" s="36" t="s">
        <v>4</v>
      </c>
      <c r="AB1" s="36" t="s">
        <v>3</v>
      </c>
      <c r="AC1" s="37" t="s">
        <v>29</v>
      </c>
      <c r="AD1" s="55" t="s">
        <v>8</v>
      </c>
      <c r="AE1" s="36" t="s">
        <v>7</v>
      </c>
      <c r="AF1" s="37" t="s">
        <v>6</v>
      </c>
      <c r="AG1" s="36" t="s">
        <v>5</v>
      </c>
      <c r="AH1" s="36" t="s">
        <v>4</v>
      </c>
      <c r="AI1" s="74" t="s">
        <v>30</v>
      </c>
      <c r="AJ1" s="76" t="s">
        <v>31</v>
      </c>
      <c r="AK1" s="78" t="s">
        <v>9</v>
      </c>
    </row>
    <row r="2" spans="1:37" ht="18.95" customHeight="1" x14ac:dyDescent="0.3">
      <c r="A2" s="72"/>
      <c r="B2" s="72"/>
      <c r="C2" s="73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75"/>
      <c r="AJ2" s="77"/>
      <c r="AK2" s="79"/>
    </row>
    <row r="3" spans="1:37" ht="18.95" customHeight="1" x14ac:dyDescent="0.3">
      <c r="A3" s="80" t="s">
        <v>11</v>
      </c>
      <c r="B3" s="81"/>
      <c r="C3" s="57" t="s">
        <v>0</v>
      </c>
      <c r="D3" s="14"/>
      <c r="E3" s="15"/>
      <c r="F3" s="15"/>
      <c r="G3" s="15"/>
      <c r="H3" s="15"/>
      <c r="I3" s="18"/>
      <c r="J3" s="16">
        <v>1804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4"/>
      <c r="AD3" s="15"/>
      <c r="AE3" s="17"/>
      <c r="AF3" s="15"/>
      <c r="AG3" s="17"/>
      <c r="AH3" s="15"/>
      <c r="AI3" s="84">
        <f>(AJ3+AJ4)/31</f>
        <v>58.193548387096776</v>
      </c>
      <c r="AJ3" s="48">
        <f>SUM(D3:AH3)</f>
        <v>1804</v>
      </c>
      <c r="AK3" s="86">
        <v>100</v>
      </c>
    </row>
    <row r="4" spans="1:37" ht="18.95" customHeight="1" x14ac:dyDescent="0.3">
      <c r="A4" s="82"/>
      <c r="B4" s="83"/>
      <c r="C4" s="58" t="s">
        <v>12</v>
      </c>
      <c r="D4" s="18"/>
      <c r="E4" s="18"/>
      <c r="F4" s="18"/>
      <c r="G4" s="18"/>
      <c r="H4" s="18"/>
      <c r="I4" s="18"/>
      <c r="J4" s="19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20"/>
      <c r="AD4" s="18"/>
      <c r="AE4" s="19"/>
      <c r="AF4" s="18"/>
      <c r="AG4" s="19"/>
      <c r="AH4" s="18"/>
      <c r="AI4" s="85"/>
      <c r="AJ4" s="48">
        <f>SUM(D4:AH4)</f>
        <v>0</v>
      </c>
      <c r="AK4" s="87"/>
    </row>
    <row r="5" spans="1:37" ht="18.95" customHeight="1" x14ac:dyDescent="0.3">
      <c r="A5" s="103" t="s">
        <v>13</v>
      </c>
      <c r="B5" s="106" t="s">
        <v>14</v>
      </c>
      <c r="C5" s="59" t="s">
        <v>15</v>
      </c>
      <c r="D5" s="2">
        <v>4</v>
      </c>
      <c r="E5" s="2">
        <v>5</v>
      </c>
      <c r="F5" s="2">
        <v>38</v>
      </c>
      <c r="G5" s="2"/>
      <c r="H5" s="2"/>
      <c r="I5" s="2">
        <v>64</v>
      </c>
      <c r="J5" s="22">
        <v>96</v>
      </c>
      <c r="K5" s="2"/>
      <c r="L5" s="2">
        <v>15</v>
      </c>
      <c r="M5" s="2">
        <v>32</v>
      </c>
      <c r="N5" s="2"/>
      <c r="O5" s="2"/>
      <c r="P5" s="2">
        <v>77</v>
      </c>
      <c r="Q5" s="2"/>
      <c r="R5" s="2">
        <v>105</v>
      </c>
      <c r="S5" s="2"/>
      <c r="T5" s="2">
        <v>13</v>
      </c>
      <c r="U5" s="2"/>
      <c r="V5" s="2">
        <v>8</v>
      </c>
      <c r="W5" s="2"/>
      <c r="X5" s="2">
        <v>47</v>
      </c>
      <c r="Y5" s="2"/>
      <c r="Z5" s="2">
        <v>38</v>
      </c>
      <c r="AA5" s="2">
        <v>58</v>
      </c>
      <c r="AB5" s="2">
        <v>35</v>
      </c>
      <c r="AC5" s="21">
        <v>9</v>
      </c>
      <c r="AD5" s="2">
        <v>30</v>
      </c>
      <c r="AE5" s="23">
        <v>42</v>
      </c>
      <c r="AF5" s="2">
        <v>42</v>
      </c>
      <c r="AG5" s="23">
        <v>51</v>
      </c>
      <c r="AH5" s="2">
        <v>9</v>
      </c>
      <c r="AI5" s="43">
        <f t="shared" ref="AI5:AI15" si="0">AJ5/31</f>
        <v>26.387096774193548</v>
      </c>
      <c r="AJ5" s="32">
        <f>SUM(D5,E5,F5,G5,H5,I5,J5,K5,L5,M5,N5,O5,P5,Q5,R5,S5,T5,U5,V5,W5,X5,Y5,Z5,AA5,AB5,AC5,AD5,AE5,AF5,AG5,AH5)</f>
        <v>818</v>
      </c>
      <c r="AK5" s="3">
        <f>(AJ5/(AJ3+AJ4))*100</f>
        <v>45.343680709534368</v>
      </c>
    </row>
    <row r="6" spans="1:37" ht="18.95" customHeight="1" x14ac:dyDescent="0.3">
      <c r="A6" s="104"/>
      <c r="B6" s="106"/>
      <c r="C6" s="60" t="s">
        <v>16</v>
      </c>
      <c r="D6" s="4">
        <v>8</v>
      </c>
      <c r="E6" s="4">
        <v>16</v>
      </c>
      <c r="F6" s="4">
        <v>22</v>
      </c>
      <c r="G6" s="4"/>
      <c r="H6" s="4">
        <v>28</v>
      </c>
      <c r="I6" s="4">
        <v>30</v>
      </c>
      <c r="J6" s="24">
        <v>11</v>
      </c>
      <c r="K6" s="4">
        <v>18</v>
      </c>
      <c r="L6" s="4">
        <v>18</v>
      </c>
      <c r="M6" s="4"/>
      <c r="N6" s="4"/>
      <c r="O6" s="4">
        <v>4</v>
      </c>
      <c r="P6" s="4"/>
      <c r="Q6" s="4">
        <v>20</v>
      </c>
      <c r="R6" s="4">
        <v>24</v>
      </c>
      <c r="S6" s="4"/>
      <c r="T6" s="4">
        <v>4</v>
      </c>
      <c r="U6" s="4"/>
      <c r="V6" s="4">
        <v>36</v>
      </c>
      <c r="W6" s="4"/>
      <c r="X6" s="4">
        <v>11</v>
      </c>
      <c r="Y6" s="4">
        <v>7</v>
      </c>
      <c r="Z6" s="4">
        <v>7</v>
      </c>
      <c r="AA6" s="4"/>
      <c r="AB6" s="4">
        <v>44</v>
      </c>
      <c r="AC6" s="25"/>
      <c r="AD6" s="4">
        <v>7</v>
      </c>
      <c r="AE6" s="24">
        <v>28</v>
      </c>
      <c r="AF6" s="4">
        <v>7</v>
      </c>
      <c r="AG6" s="24">
        <v>8</v>
      </c>
      <c r="AH6" s="4">
        <v>15</v>
      </c>
      <c r="AI6" s="44">
        <f t="shared" si="0"/>
        <v>12.03225806451613</v>
      </c>
      <c r="AJ6" s="33">
        <f>SUM(D6,E6,F6,G6,H6,I6,J6,K6,L6,M6,N6,O6,P6,Q6,R6,S6,T6,U6,V6,W6,X6,Y6,Z6,AA6,AB6,AC6,AD6,AE6,AF6,AG6,AH6)</f>
        <v>373</v>
      </c>
      <c r="AK6" s="5">
        <f>(AJ6/(AJ3+AJ4))*100</f>
        <v>20.676274944567627</v>
      </c>
    </row>
    <row r="7" spans="1:37" ht="18.95" customHeight="1" x14ac:dyDescent="0.3">
      <c r="A7" s="104"/>
      <c r="B7" s="106"/>
      <c r="C7" s="60" t="s">
        <v>17</v>
      </c>
      <c r="D7" s="4"/>
      <c r="E7" s="4"/>
      <c r="F7" s="4"/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>
        <v>42</v>
      </c>
      <c r="AB7" s="4"/>
      <c r="AC7" s="25"/>
      <c r="AD7" s="4"/>
      <c r="AE7" s="24"/>
      <c r="AF7" s="4"/>
      <c r="AG7" s="24"/>
      <c r="AH7" s="4"/>
      <c r="AI7" s="44">
        <f t="shared" si="0"/>
        <v>1.3548387096774193</v>
      </c>
      <c r="AJ7" s="33">
        <f>SUM(D7,E7,F7,G7,H7,I7,J7,K7,L7,M7,N7,O7,P7,Q7,R7,S7,T7,U7,V7,W7,X7,Y7,Z7,AA7,AB7,AC7,AD7,AE7,AF7,AG7,AH7)</f>
        <v>42</v>
      </c>
      <c r="AK7" s="5">
        <f>(AJ7/(AJ3+AJ4))*100</f>
        <v>2.3281596452328159</v>
      </c>
    </row>
    <row r="8" spans="1:37" ht="18.95" customHeight="1" x14ac:dyDescent="0.3">
      <c r="A8" s="104"/>
      <c r="B8" s="106"/>
      <c r="C8" s="61" t="s">
        <v>18</v>
      </c>
      <c r="D8" s="39">
        <v>24</v>
      </c>
      <c r="E8" s="39"/>
      <c r="F8" s="39"/>
      <c r="G8" s="39"/>
      <c r="H8" s="39"/>
      <c r="I8" s="39">
        <v>12</v>
      </c>
      <c r="J8" s="40"/>
      <c r="K8" s="39"/>
      <c r="L8" s="39"/>
      <c r="M8" s="39"/>
      <c r="N8" s="39"/>
      <c r="O8" s="39"/>
      <c r="P8" s="39"/>
      <c r="Q8" s="39"/>
      <c r="R8" s="39">
        <v>198</v>
      </c>
      <c r="S8" s="39"/>
      <c r="T8" s="39"/>
      <c r="U8" s="39"/>
      <c r="V8" s="39"/>
      <c r="W8" s="39"/>
      <c r="X8" s="39"/>
      <c r="Y8" s="39"/>
      <c r="Z8" s="39"/>
      <c r="AA8" s="39"/>
      <c r="AB8" s="39"/>
      <c r="AC8" s="38"/>
      <c r="AD8" s="39"/>
      <c r="AE8" s="40"/>
      <c r="AF8" s="39">
        <v>102</v>
      </c>
      <c r="AG8" s="40"/>
      <c r="AH8" s="39">
        <v>14</v>
      </c>
      <c r="AI8" s="47">
        <f t="shared" si="0"/>
        <v>11.290322580645162</v>
      </c>
      <c r="AJ8" s="41">
        <f>SUM(D8,E8,F8,G8,H8,I8,J8,K8,L8,M8,N8,O8,P8,Q8,R8,S8,T8,U8,V8,W8,X8,Y8,Z8,AA8,AB8,AC8,AD8,AE8,AF8,AG8,AH8)</f>
        <v>350</v>
      </c>
      <c r="AK8" s="42">
        <f>(AJ8/(AJ3+AJ4))*100</f>
        <v>19.40133037694013</v>
      </c>
    </row>
    <row r="9" spans="1:37" ht="18.95" customHeight="1" x14ac:dyDescent="0.3">
      <c r="A9" s="104"/>
      <c r="B9" s="106"/>
      <c r="C9" s="59" t="s">
        <v>1</v>
      </c>
      <c r="D9" s="2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1"/>
      <c r="AD9" s="2"/>
      <c r="AE9" s="23"/>
      <c r="AF9" s="2"/>
      <c r="AG9" s="23"/>
      <c r="AH9" s="2"/>
      <c r="AI9" s="43">
        <f t="shared" si="0"/>
        <v>0</v>
      </c>
      <c r="AJ9" s="32">
        <f>SUM(D9,E9,F9,G9,H9,I9,J9,K9,L9,M9,N9,O9,P9,Q9,R9,S9,T9,U9,V9,W9,X9,Y9,Z9,AA9,AB9,AC9,AD9,AE9,AF9,AG9,AH9)</f>
        <v>0</v>
      </c>
      <c r="AK9" s="3">
        <f>(AJ9/(AJ3+AJ4))*100</f>
        <v>0</v>
      </c>
    </row>
    <row r="10" spans="1:37" ht="18.95" customHeight="1" x14ac:dyDescent="0.3">
      <c r="A10" s="104"/>
      <c r="B10" s="106"/>
      <c r="C10" s="60" t="s">
        <v>19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0</v>
      </c>
      <c r="AJ10" s="33">
        <f t="shared" ref="AJ10:AJ14" si="1">SUM(D10,E10,F10,G10,H10,I10,J10,K10,L10,M10,N10,O10,P10,Q10,R10,S10,T10,U10,V10,W10,X10,Y10,Z10,AA10,AB10,AC10,AD10,AE10,AF10,AG10,AH10)</f>
        <v>0</v>
      </c>
      <c r="AK10" s="5">
        <f>(AJ10/(AJ3+AJ4))*100</f>
        <v>0</v>
      </c>
    </row>
    <row r="11" spans="1:37" ht="18.95" customHeight="1" x14ac:dyDescent="0.3">
      <c r="A11" s="104"/>
      <c r="B11" s="106"/>
      <c r="C11" s="60" t="s">
        <v>20</v>
      </c>
      <c r="D11" s="2"/>
      <c r="E11" s="2">
        <v>19</v>
      </c>
      <c r="F11" s="2"/>
      <c r="G11" s="2"/>
      <c r="H11" s="2"/>
      <c r="I11" s="2"/>
      <c r="J11" s="22"/>
      <c r="K11" s="2"/>
      <c r="L11" s="2"/>
      <c r="M11" s="2"/>
      <c r="N11" s="2">
        <v>12</v>
      </c>
      <c r="O11" s="2"/>
      <c r="P11" s="2"/>
      <c r="Q11" s="2"/>
      <c r="R11" s="2"/>
      <c r="S11" s="2"/>
      <c r="T11" s="2"/>
      <c r="U11" s="2"/>
      <c r="V11" s="2">
        <v>564</v>
      </c>
      <c r="W11" s="2"/>
      <c r="X11" s="2"/>
      <c r="Y11" s="2"/>
      <c r="Z11" s="2"/>
      <c r="AA11" s="2"/>
      <c r="AB11" s="2"/>
      <c r="AC11" s="21"/>
      <c r="AD11" s="2"/>
      <c r="AE11" s="23">
        <v>41</v>
      </c>
      <c r="AF11" s="2"/>
      <c r="AG11" s="23"/>
      <c r="AH11" s="2"/>
      <c r="AI11" s="43">
        <f t="shared" si="0"/>
        <v>20.516129032258064</v>
      </c>
      <c r="AJ11" s="32">
        <f>SUM(D11,E11,F11,G11,H11,I11,J11,K11,L11,M11,N11,O11,P11,Q11,R11,S11,T11,U11,V11,W11,X11,Y11,Z11,AA11,AB11,AC11,AD11,AE11,AF11,AG11,AH11)</f>
        <v>636</v>
      </c>
      <c r="AK11" s="3">
        <f>(AJ11/(AJ3+AJ4))*100</f>
        <v>35.254988913525494</v>
      </c>
    </row>
    <row r="12" spans="1:37" ht="18.95" customHeight="1" x14ac:dyDescent="0.3">
      <c r="A12" s="104"/>
      <c r="B12" s="107" t="s">
        <v>21</v>
      </c>
      <c r="C12" s="62" t="s">
        <v>2</v>
      </c>
      <c r="D12" s="6"/>
      <c r="E12" s="6"/>
      <c r="F12" s="6">
        <v>43</v>
      </c>
      <c r="G12" s="6">
        <v>90</v>
      </c>
      <c r="H12" s="6"/>
      <c r="I12" s="6"/>
      <c r="J12" s="26"/>
      <c r="K12" s="6"/>
      <c r="L12" s="6"/>
      <c r="M12" s="6"/>
      <c r="N12" s="6">
        <v>60</v>
      </c>
      <c r="O12" s="6"/>
      <c r="P12" s="6"/>
      <c r="Q12" s="6"/>
      <c r="R12" s="6"/>
      <c r="S12" s="6"/>
      <c r="T12" s="6"/>
      <c r="U12" s="6"/>
      <c r="V12" s="6"/>
      <c r="W12" s="6"/>
      <c r="X12" s="6">
        <v>40</v>
      </c>
      <c r="Y12" s="6"/>
      <c r="Z12" s="6"/>
      <c r="AA12" s="6"/>
      <c r="AB12" s="6"/>
      <c r="AC12" s="27"/>
      <c r="AD12" s="6"/>
      <c r="AE12" s="26"/>
      <c r="AF12" s="6"/>
      <c r="AG12" s="26"/>
      <c r="AH12" s="6"/>
      <c r="AI12" s="45">
        <f t="shared" si="0"/>
        <v>7.5161290322580649</v>
      </c>
      <c r="AJ12" s="34">
        <f>SUM(D12,E12,F12,G12,H12,I12,J12,K12,L12,M12,N12,O12,P12,Q12,R12,S12,T12,U12,V12,W12,X12,Y12,Z12,AA12,AB12,AC12,AD12,AE12,AF12,AG12,AH12)</f>
        <v>233</v>
      </c>
      <c r="AK12" s="7">
        <f>(AJ12/(AJ3+AJ4))*100</f>
        <v>12.915742793791573</v>
      </c>
    </row>
    <row r="13" spans="1:37" ht="18.95" customHeight="1" x14ac:dyDescent="0.3">
      <c r="A13" s="104"/>
      <c r="B13" s="108"/>
      <c r="C13" s="62" t="s">
        <v>22</v>
      </c>
      <c r="D13" s="8"/>
      <c r="E13" s="8"/>
      <c r="F13" s="8">
        <v>14</v>
      </c>
      <c r="G13" s="8">
        <v>28</v>
      </c>
      <c r="H13" s="8"/>
      <c r="I13" s="8"/>
      <c r="J13" s="29"/>
      <c r="K13" s="8"/>
      <c r="L13" s="8"/>
      <c r="M13" s="8"/>
      <c r="N13" s="8">
        <v>34</v>
      </c>
      <c r="O13" s="8"/>
      <c r="P13" s="8"/>
      <c r="Q13" s="8"/>
      <c r="R13" s="8"/>
      <c r="S13" s="8"/>
      <c r="T13" s="8"/>
      <c r="U13" s="8"/>
      <c r="V13" s="8"/>
      <c r="W13" s="8"/>
      <c r="X13" s="8">
        <v>21</v>
      </c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3.129032258064516</v>
      </c>
      <c r="AJ13" s="35">
        <f>SUM(D13,E13,F13,G13,H13,I13,J13,K13,L13,M13,N13,O13,P13,Q13,R13,S13,T13,U13,V13,W13,X13,Y13,Z13,AA13,AB13,AC13,AD13,AE13,AF13,AG13,AH13)</f>
        <v>97</v>
      </c>
      <c r="AK13" s="9">
        <f>(AJ13/(AJ3+AJ4))*100</f>
        <v>5.376940133037694</v>
      </c>
    </row>
    <row r="14" spans="1:37" ht="18.95" customHeight="1" x14ac:dyDescent="0.3">
      <c r="A14" s="104"/>
      <c r="B14" s="108"/>
      <c r="C14" s="56" t="s">
        <v>23</v>
      </c>
      <c r="D14" s="6">
        <v>23</v>
      </c>
      <c r="E14" s="6"/>
      <c r="F14" s="6"/>
      <c r="G14" s="6"/>
      <c r="H14" s="6"/>
      <c r="I14" s="6"/>
      <c r="J14" s="26">
        <v>47</v>
      </c>
      <c r="K14" s="6">
        <v>280</v>
      </c>
      <c r="L14" s="6"/>
      <c r="M14" s="6"/>
      <c r="N14" s="6"/>
      <c r="O14" s="6"/>
      <c r="P14" s="6"/>
      <c r="Q14" s="6"/>
      <c r="R14" s="6"/>
      <c r="S14" s="6"/>
      <c r="T14" s="6"/>
      <c r="U14" s="6">
        <v>140</v>
      </c>
      <c r="V14" s="6"/>
      <c r="W14" s="6"/>
      <c r="X14" s="6"/>
      <c r="Y14" s="6"/>
      <c r="Z14" s="6">
        <v>7</v>
      </c>
      <c r="AA14" s="6"/>
      <c r="AB14" s="6">
        <v>33</v>
      </c>
      <c r="AC14" s="27"/>
      <c r="AD14" s="6"/>
      <c r="AE14" s="26"/>
      <c r="AF14" s="6">
        <v>47</v>
      </c>
      <c r="AG14" s="26">
        <v>29</v>
      </c>
      <c r="AH14" s="6"/>
      <c r="AI14" s="45">
        <f t="shared" si="0"/>
        <v>19.548387096774192</v>
      </c>
      <c r="AJ14" s="34">
        <f t="shared" si="1"/>
        <v>606</v>
      </c>
      <c r="AK14" s="7">
        <f>(AJ14/(AJ3+AJ4))*100</f>
        <v>33.592017738359203</v>
      </c>
    </row>
    <row r="15" spans="1:37" ht="18.95" customHeight="1" x14ac:dyDescent="0.3">
      <c r="A15" s="104"/>
      <c r="B15" s="108"/>
      <c r="C15" s="62" t="s">
        <v>24</v>
      </c>
      <c r="D15" s="51"/>
      <c r="E15" s="51"/>
      <c r="F15" s="51">
        <v>94</v>
      </c>
      <c r="G15" s="51"/>
      <c r="H15" s="51"/>
      <c r="I15" s="51"/>
      <c r="J15" s="50"/>
      <c r="K15" s="51"/>
      <c r="L15" s="51"/>
      <c r="M15" s="51"/>
      <c r="N15" s="51">
        <v>71</v>
      </c>
      <c r="O15" s="51"/>
      <c r="P15" s="51"/>
      <c r="Q15" s="51"/>
      <c r="R15" s="51"/>
      <c r="S15" s="51"/>
      <c r="T15" s="51">
        <v>94</v>
      </c>
      <c r="U15" s="51"/>
      <c r="V15" s="51"/>
      <c r="W15" s="51">
        <v>47</v>
      </c>
      <c r="X15" s="51"/>
      <c r="Y15" s="51"/>
      <c r="Z15" s="51"/>
      <c r="AA15" s="51"/>
      <c r="AB15" s="51">
        <v>107</v>
      </c>
      <c r="AC15" s="52"/>
      <c r="AD15" s="51"/>
      <c r="AE15" s="50"/>
      <c r="AF15" s="51">
        <v>282</v>
      </c>
      <c r="AG15" s="50"/>
      <c r="AH15" s="51"/>
      <c r="AI15" s="45">
        <f t="shared" si="0"/>
        <v>22.419354838709676</v>
      </c>
      <c r="AJ15" s="34">
        <f>SUM(D15,E15,F15,G15,H15,I15,J15,K15,L15,M15,N15,O15,P15,Q15,R15,S15,T15,U15,V15,W15,X15,Y15,Z15,AA15,AB15,AC15,AD15,AE15,AF15,AG15,AH15)</f>
        <v>695</v>
      </c>
      <c r="AK15" s="7">
        <f>(AJ15/(AJ3+AJ4))*100</f>
        <v>38.525498891352548</v>
      </c>
    </row>
    <row r="16" spans="1:37" ht="18.399999999999999" customHeight="1" x14ac:dyDescent="0.3">
      <c r="A16" s="105"/>
      <c r="B16" s="94" t="s">
        <v>25</v>
      </c>
      <c r="C16" s="95"/>
      <c r="D16" s="94">
        <f>SUM(D5:H15)+30</f>
        <v>486</v>
      </c>
      <c r="E16" s="95"/>
      <c r="F16" s="95"/>
      <c r="G16" s="95"/>
      <c r="H16" s="96"/>
      <c r="I16" s="94">
        <f>SUM(I5:O15)</f>
        <v>804</v>
      </c>
      <c r="J16" s="95"/>
      <c r="K16" s="95"/>
      <c r="L16" s="95"/>
      <c r="M16" s="95"/>
      <c r="N16" s="95"/>
      <c r="O16" s="96"/>
      <c r="P16" s="94">
        <f>SUM(P5:V15)</f>
        <v>1283</v>
      </c>
      <c r="Q16" s="95"/>
      <c r="R16" s="95"/>
      <c r="S16" s="95"/>
      <c r="T16" s="95"/>
      <c r="U16" s="95"/>
      <c r="V16" s="96"/>
      <c r="W16" s="94">
        <f>SUM(W5:AC15)</f>
        <v>553</v>
      </c>
      <c r="X16" s="95"/>
      <c r="Y16" s="95"/>
      <c r="Z16" s="95"/>
      <c r="AA16" s="95"/>
      <c r="AB16" s="95"/>
      <c r="AC16" s="96"/>
      <c r="AD16" s="94">
        <f>SUM(AD5:AH15)</f>
        <v>754</v>
      </c>
      <c r="AE16" s="95"/>
      <c r="AF16" s="95"/>
      <c r="AG16" s="95"/>
      <c r="AH16" s="96"/>
      <c r="AI16" s="53">
        <f>AJ16/31</f>
        <v>124.19354838709677</v>
      </c>
      <c r="AJ16" s="49">
        <f>SUM(AJ5,AJ6,AJ7,AJ8,AJ9,AJ10,AJ11,AJ12,AJ13,AJ14,AJ15)</f>
        <v>3850</v>
      </c>
      <c r="AK16" s="10">
        <f>SUM(AK5,AK6,AK7,AK8,AK9,AK10,AK11,AK12,AK13,AK14,AK15)</f>
        <v>213.41463414634146</v>
      </c>
    </row>
    <row r="17" spans="1:37" ht="18" customHeight="1" x14ac:dyDescent="0.3">
      <c r="A17" s="97" t="s">
        <v>26</v>
      </c>
      <c r="B17" s="97"/>
      <c r="C17" s="109"/>
      <c r="D17" s="98">
        <v>11841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100"/>
      <c r="AJ17" s="101"/>
      <c r="AK17" s="68"/>
    </row>
    <row r="18" spans="1:37" ht="18" customHeight="1" x14ac:dyDescent="0.3">
      <c r="A18" s="89" t="s">
        <v>27</v>
      </c>
      <c r="B18" s="89"/>
      <c r="C18" s="90"/>
      <c r="D18" s="102">
        <f>(AJ3+AJ4)-AJ16</f>
        <v>-2046</v>
      </c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1"/>
      <c r="AK18" s="31">
        <f>((AJ3+AJ4-AJ16)/(AJ3+AJ4))*100</f>
        <v>-113.41463414634146</v>
      </c>
    </row>
    <row r="19" spans="1:37" ht="18" customHeight="1" x14ac:dyDescent="0.3">
      <c r="A19" s="88" t="s">
        <v>28</v>
      </c>
      <c r="B19" s="89"/>
      <c r="C19" s="90"/>
      <c r="D19" s="91">
        <f>(AJ3+AJ4+D17)-AJ16</f>
        <v>9795</v>
      </c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3"/>
      <c r="AK19" s="54"/>
    </row>
    <row r="24" spans="1:37" x14ac:dyDescent="0.3">
      <c r="S24" s="1" t="s">
        <v>10</v>
      </c>
    </row>
  </sheetData>
  <mergeCells count="22">
    <mergeCell ref="A19:C19"/>
    <mergeCell ref="D19:AJ19"/>
    <mergeCell ref="AD16:AH16"/>
    <mergeCell ref="W16:AC16"/>
    <mergeCell ref="A17:C17"/>
    <mergeCell ref="D17:AJ17"/>
    <mergeCell ref="A18:C18"/>
    <mergeCell ref="D18:AJ18"/>
    <mergeCell ref="A5:A16"/>
    <mergeCell ref="B5:B11"/>
    <mergeCell ref="B12:B15"/>
    <mergeCell ref="D16:H16"/>
    <mergeCell ref="I16:O16"/>
    <mergeCell ref="P16:V16"/>
    <mergeCell ref="B16:C16"/>
    <mergeCell ref="A1:C2"/>
    <mergeCell ref="AI1:AI2"/>
    <mergeCell ref="AJ1:AJ2"/>
    <mergeCell ref="AK1:AK2"/>
    <mergeCell ref="A3:B4"/>
    <mergeCell ref="AI3:AI4"/>
    <mergeCell ref="AK3:AK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4"/>
  <sheetViews>
    <sheetView zoomScale="80" zoomScaleNormal="80" workbookViewId="0">
      <selection activeCell="AI1" sqref="AI1:AJ2"/>
    </sheetView>
  </sheetViews>
  <sheetFormatPr defaultRowHeight="18.75" x14ac:dyDescent="0.3"/>
  <cols>
    <col min="1" max="1" width="5.85546875" style="1" customWidth="1"/>
    <col min="2" max="2" width="6.140625" style="1" customWidth="1"/>
    <col min="3" max="3" width="19.28515625" style="1" customWidth="1"/>
    <col min="4" max="34" width="5.7109375" style="1" customWidth="1"/>
    <col min="35" max="35" width="11.5703125" style="1" customWidth="1"/>
    <col min="36" max="36" width="10.140625" style="1" customWidth="1"/>
    <col min="37" max="37" width="10.85546875" style="1" bestFit="1" customWidth="1"/>
    <col min="38" max="16384" width="9.140625" style="1"/>
  </cols>
  <sheetData>
    <row r="1" spans="1:37" ht="18.95" customHeight="1" x14ac:dyDescent="0.3">
      <c r="A1" s="70"/>
      <c r="B1" s="70"/>
      <c r="C1" s="71"/>
      <c r="D1" s="36" t="s">
        <v>3</v>
      </c>
      <c r="E1" s="37" t="s">
        <v>29</v>
      </c>
      <c r="F1" s="55" t="s">
        <v>8</v>
      </c>
      <c r="G1" s="36" t="s">
        <v>7</v>
      </c>
      <c r="H1" s="37" t="s">
        <v>6</v>
      </c>
      <c r="I1" s="36" t="s">
        <v>5</v>
      </c>
      <c r="J1" s="36" t="s">
        <v>4</v>
      </c>
      <c r="K1" s="36" t="s">
        <v>3</v>
      </c>
      <c r="L1" s="37" t="s">
        <v>29</v>
      </c>
      <c r="M1" s="55" t="s">
        <v>8</v>
      </c>
      <c r="N1" s="36" t="s">
        <v>7</v>
      </c>
      <c r="O1" s="37" t="s">
        <v>6</v>
      </c>
      <c r="P1" s="36" t="s">
        <v>5</v>
      </c>
      <c r="Q1" s="36" t="s">
        <v>4</v>
      </c>
      <c r="R1" s="36" t="s">
        <v>3</v>
      </c>
      <c r="S1" s="37" t="s">
        <v>29</v>
      </c>
      <c r="T1" s="55" t="s">
        <v>8</v>
      </c>
      <c r="U1" s="36" t="s">
        <v>7</v>
      </c>
      <c r="V1" s="37" t="s">
        <v>6</v>
      </c>
      <c r="W1" s="36" t="s">
        <v>5</v>
      </c>
      <c r="X1" s="36" t="s">
        <v>4</v>
      </c>
      <c r="Y1" s="36" t="s">
        <v>3</v>
      </c>
      <c r="Z1" s="37" t="s">
        <v>29</v>
      </c>
      <c r="AA1" s="55" t="s">
        <v>8</v>
      </c>
      <c r="AB1" s="36" t="s">
        <v>7</v>
      </c>
      <c r="AC1" s="37" t="s">
        <v>6</v>
      </c>
      <c r="AD1" s="36" t="s">
        <v>5</v>
      </c>
      <c r="AE1" s="36" t="s">
        <v>4</v>
      </c>
      <c r="AF1" s="36" t="s">
        <v>3</v>
      </c>
      <c r="AG1" s="37" t="s">
        <v>29</v>
      </c>
      <c r="AH1" s="36"/>
      <c r="AI1" s="74" t="s">
        <v>30</v>
      </c>
      <c r="AJ1" s="76" t="s">
        <v>31</v>
      </c>
      <c r="AK1" s="78" t="s">
        <v>9</v>
      </c>
    </row>
    <row r="2" spans="1:37" ht="18.95" customHeight="1" x14ac:dyDescent="0.3">
      <c r="A2" s="72"/>
      <c r="B2" s="72"/>
      <c r="C2" s="73"/>
      <c r="D2" s="11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3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1">
        <v>26</v>
      </c>
      <c r="AD2" s="12">
        <v>27</v>
      </c>
      <c r="AE2" s="13">
        <v>28</v>
      </c>
      <c r="AF2" s="12">
        <v>29</v>
      </c>
      <c r="AG2" s="13">
        <v>30</v>
      </c>
      <c r="AH2" s="12">
        <v>31</v>
      </c>
      <c r="AI2" s="75"/>
      <c r="AJ2" s="77"/>
      <c r="AK2" s="79"/>
    </row>
    <row r="3" spans="1:37" ht="18.95" customHeight="1" x14ac:dyDescent="0.3">
      <c r="A3" s="80" t="s">
        <v>11</v>
      </c>
      <c r="B3" s="81"/>
      <c r="C3" s="57" t="s">
        <v>0</v>
      </c>
      <c r="D3" s="14"/>
      <c r="E3" s="15"/>
      <c r="F3" s="15"/>
      <c r="G3" s="15"/>
      <c r="H3" s="15"/>
      <c r="I3" s="18"/>
      <c r="J3" s="16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4"/>
      <c r="AD3" s="15"/>
      <c r="AE3" s="17"/>
      <c r="AF3" s="15"/>
      <c r="AG3" s="17"/>
      <c r="AH3" s="15"/>
      <c r="AI3" s="84">
        <f>(AJ3+AJ4)/31</f>
        <v>16.129032258064516</v>
      </c>
      <c r="AJ3" s="48">
        <f>SUM(D3:AH3)</f>
        <v>0</v>
      </c>
      <c r="AK3" s="86">
        <v>100</v>
      </c>
    </row>
    <row r="4" spans="1:37" ht="18.95" customHeight="1" x14ac:dyDescent="0.3">
      <c r="A4" s="82"/>
      <c r="B4" s="83"/>
      <c r="C4" s="58" t="s">
        <v>12</v>
      </c>
      <c r="D4" s="18"/>
      <c r="E4" s="18"/>
      <c r="F4" s="18"/>
      <c r="G4" s="18"/>
      <c r="H4" s="18"/>
      <c r="I4" s="18"/>
      <c r="J4" s="19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20"/>
      <c r="AD4" s="18"/>
      <c r="AE4" s="19"/>
      <c r="AF4" s="18">
        <v>500</v>
      </c>
      <c r="AG4" s="19"/>
      <c r="AH4" s="18"/>
      <c r="AI4" s="85"/>
      <c r="AJ4" s="48">
        <f>SUM(D4:AH4)</f>
        <v>500</v>
      </c>
      <c r="AK4" s="87"/>
    </row>
    <row r="5" spans="1:37" ht="18.95" customHeight="1" x14ac:dyDescent="0.3">
      <c r="A5" s="103" t="s">
        <v>13</v>
      </c>
      <c r="B5" s="106" t="s">
        <v>14</v>
      </c>
      <c r="C5" s="59" t="s">
        <v>15</v>
      </c>
      <c r="D5" s="2"/>
      <c r="E5" s="2"/>
      <c r="F5" s="2">
        <v>51</v>
      </c>
      <c r="G5" s="2">
        <v>4</v>
      </c>
      <c r="H5" s="2">
        <v>22</v>
      </c>
      <c r="I5" s="2">
        <v>12</v>
      </c>
      <c r="J5" s="22">
        <v>22</v>
      </c>
      <c r="K5" s="2"/>
      <c r="L5" s="2">
        <v>9</v>
      </c>
      <c r="M5" s="2">
        <v>8</v>
      </c>
      <c r="N5" s="2"/>
      <c r="O5" s="2">
        <v>94</v>
      </c>
      <c r="P5" s="2"/>
      <c r="Q5" s="2"/>
      <c r="R5" s="2"/>
      <c r="S5" s="2"/>
      <c r="T5" s="2">
        <v>25</v>
      </c>
      <c r="U5" s="2">
        <v>43</v>
      </c>
      <c r="V5" s="2"/>
      <c r="W5" s="2">
        <v>33</v>
      </c>
      <c r="X5" s="2"/>
      <c r="Y5" s="2"/>
      <c r="Z5" s="2">
        <v>11</v>
      </c>
      <c r="AA5" s="2"/>
      <c r="AB5" s="2">
        <v>31</v>
      </c>
      <c r="AC5" s="21">
        <v>94</v>
      </c>
      <c r="AD5" s="2"/>
      <c r="AE5" s="23">
        <v>176</v>
      </c>
      <c r="AF5" s="2"/>
      <c r="AG5" s="23"/>
      <c r="AH5" s="2"/>
      <c r="AI5" s="43">
        <f t="shared" ref="AI5:AI15" si="0">AJ5/31</f>
        <v>20.483870967741936</v>
      </c>
      <c r="AJ5" s="32">
        <f>SUM(D5,E5,F5,G5,H5,I5,J5,K5,L5,M5,N5,O5,P5,Q5,R5,S5,T5,U5,V5,W5,X5,Y5,Z5,AA5,AB5,AC5,AD5,AE5,AF5,AG5,AH5)</f>
        <v>635</v>
      </c>
      <c r="AK5" s="3">
        <f>(AJ5/(AJ3+AJ4))*100</f>
        <v>127</v>
      </c>
    </row>
    <row r="6" spans="1:37" ht="18.95" customHeight="1" x14ac:dyDescent="0.3">
      <c r="A6" s="104"/>
      <c r="B6" s="106"/>
      <c r="C6" s="60" t="s">
        <v>16</v>
      </c>
      <c r="D6" s="4"/>
      <c r="E6" s="4">
        <v>33</v>
      </c>
      <c r="F6" s="4">
        <v>4</v>
      </c>
      <c r="G6" s="4">
        <v>8</v>
      </c>
      <c r="H6" s="4">
        <v>8</v>
      </c>
      <c r="I6" s="4">
        <v>19</v>
      </c>
      <c r="J6" s="24"/>
      <c r="K6" s="4">
        <v>10</v>
      </c>
      <c r="L6" s="4">
        <v>19</v>
      </c>
      <c r="M6" s="4">
        <v>8</v>
      </c>
      <c r="N6" s="4">
        <v>19</v>
      </c>
      <c r="O6" s="4">
        <v>4</v>
      </c>
      <c r="P6" s="4">
        <v>31</v>
      </c>
      <c r="Q6" s="4">
        <v>35</v>
      </c>
      <c r="R6" s="4"/>
      <c r="S6" s="4"/>
      <c r="T6" s="4">
        <v>33</v>
      </c>
      <c r="U6" s="4">
        <v>12</v>
      </c>
      <c r="V6" s="4"/>
      <c r="W6" s="4">
        <v>13</v>
      </c>
      <c r="X6" s="4">
        <v>44</v>
      </c>
      <c r="Y6" s="4"/>
      <c r="Z6" s="4">
        <v>48</v>
      </c>
      <c r="AA6" s="4">
        <v>23</v>
      </c>
      <c r="AB6" s="4">
        <v>4</v>
      </c>
      <c r="AC6" s="25">
        <v>19</v>
      </c>
      <c r="AD6" s="4">
        <v>8</v>
      </c>
      <c r="AE6" s="24">
        <v>11</v>
      </c>
      <c r="AF6" s="4">
        <v>8</v>
      </c>
      <c r="AG6" s="24">
        <v>115</v>
      </c>
      <c r="AH6" s="4"/>
      <c r="AI6" s="44">
        <f t="shared" si="0"/>
        <v>17.29032258064516</v>
      </c>
      <c r="AJ6" s="33">
        <f>SUM(D6,E6,F6,G6,H6,I6,J6,K6,L6,M6,N6,O6,P6,Q6,R6,S6,T6,U6,V6,W6,X6,Y6,Z6,AA6,AB6,AC6,AD6,AE6,AF6,AG6,AH6)</f>
        <v>536</v>
      </c>
      <c r="AK6" s="5">
        <f>(AJ6/(AJ3+AJ4))*100</f>
        <v>107.2</v>
      </c>
    </row>
    <row r="7" spans="1:37" ht="18.95" customHeight="1" x14ac:dyDescent="0.3">
      <c r="A7" s="104"/>
      <c r="B7" s="106"/>
      <c r="C7" s="60" t="s">
        <v>17</v>
      </c>
      <c r="D7" s="4"/>
      <c r="E7" s="4"/>
      <c r="F7" s="4">
        <v>77</v>
      </c>
      <c r="G7" s="4"/>
      <c r="H7" s="4"/>
      <c r="I7" s="4"/>
      <c r="J7" s="2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25"/>
      <c r="AD7" s="4"/>
      <c r="AE7" s="24"/>
      <c r="AF7" s="4"/>
      <c r="AG7" s="24"/>
      <c r="AH7" s="4"/>
      <c r="AI7" s="44">
        <f t="shared" si="0"/>
        <v>2.4838709677419355</v>
      </c>
      <c r="AJ7" s="33">
        <f>SUM(D7,E7,F7,G7,H7,I7,J7,K7,L7,M7,N7,O7,P7,Q7,R7,S7,T7,U7,V7,W7,X7,Y7,Z7,AA7,AB7,AC7,AD7,AE7,AF7,AG7,AH7)</f>
        <v>77</v>
      </c>
      <c r="AK7" s="5">
        <f>(AJ7/(AJ3+AJ4))*100</f>
        <v>15.4</v>
      </c>
    </row>
    <row r="8" spans="1:37" ht="18.95" customHeight="1" x14ac:dyDescent="0.3">
      <c r="A8" s="104"/>
      <c r="B8" s="106"/>
      <c r="C8" s="61" t="s">
        <v>18</v>
      </c>
      <c r="D8" s="39"/>
      <c r="E8" s="39"/>
      <c r="F8" s="39"/>
      <c r="G8" s="39"/>
      <c r="H8" s="39"/>
      <c r="I8" s="39"/>
      <c r="J8" s="40"/>
      <c r="K8" s="39"/>
      <c r="L8" s="39"/>
      <c r="M8" s="39"/>
      <c r="N8" s="39"/>
      <c r="O8" s="39">
        <v>450</v>
      </c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8">
        <v>12</v>
      </c>
      <c r="AD8" s="39"/>
      <c r="AE8" s="40"/>
      <c r="AF8" s="39"/>
      <c r="AG8" s="40"/>
      <c r="AH8" s="39"/>
      <c r="AI8" s="47">
        <f t="shared" si="0"/>
        <v>14.903225806451612</v>
      </c>
      <c r="AJ8" s="41">
        <f>SUM(D8,E8,F8,G8,H8,I8,J8,K8,L8,M8,N8,O8,P8,Q8,R8,S8,T8,U8,V8,W8,X8,Y8,Z8,AA8,AB8,AC8,AD8,AE8,AF8,AG8,AH8)</f>
        <v>462</v>
      </c>
      <c r="AK8" s="42">
        <f>(AJ8/(AJ3+AJ4))*100</f>
        <v>92.4</v>
      </c>
    </row>
    <row r="9" spans="1:37" ht="18.95" customHeight="1" x14ac:dyDescent="0.3">
      <c r="A9" s="104"/>
      <c r="B9" s="106"/>
      <c r="C9" s="59" t="s">
        <v>1</v>
      </c>
      <c r="D9" s="2"/>
      <c r="E9" s="2"/>
      <c r="F9" s="2"/>
      <c r="G9" s="2"/>
      <c r="H9" s="2"/>
      <c r="I9" s="2"/>
      <c r="J9" s="2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>
        <v>565</v>
      </c>
      <c r="AC9" s="21"/>
      <c r="AD9" s="2">
        <v>200</v>
      </c>
      <c r="AE9" s="23"/>
      <c r="AF9" s="2"/>
      <c r="AG9" s="23"/>
      <c r="AH9" s="2"/>
      <c r="AI9" s="43">
        <f t="shared" si="0"/>
        <v>24.677419354838708</v>
      </c>
      <c r="AJ9" s="32">
        <f>SUM(D9,E9,F9,G9,H9,I9,J9,K9,L9,M9,N9,O9,P9,Q9,R9,S9,T9,U9,V9,W9,X9,Y9,Z9,AA9,AB9,AC9,AD9,AE9,AF9,AG9,AH9)</f>
        <v>765</v>
      </c>
      <c r="AK9" s="3">
        <f>(AJ9/(AJ3+AJ4))*100</f>
        <v>153</v>
      </c>
    </row>
    <row r="10" spans="1:37" ht="18.95" customHeight="1" x14ac:dyDescent="0.3">
      <c r="A10" s="104"/>
      <c r="B10" s="106"/>
      <c r="C10" s="60" t="s">
        <v>19</v>
      </c>
      <c r="D10" s="4"/>
      <c r="E10" s="4"/>
      <c r="F10" s="4"/>
      <c r="G10" s="4"/>
      <c r="H10" s="4"/>
      <c r="I10" s="4"/>
      <c r="J10" s="24"/>
      <c r="K10" s="4"/>
      <c r="L10" s="4"/>
      <c r="M10" s="4"/>
      <c r="N10" s="4"/>
      <c r="O10" s="4"/>
      <c r="P10" s="4"/>
      <c r="Q10" s="4">
        <v>34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5"/>
      <c r="AD10" s="4"/>
      <c r="AE10" s="24"/>
      <c r="AF10" s="4"/>
      <c r="AG10" s="24"/>
      <c r="AH10" s="4"/>
      <c r="AI10" s="44">
        <f t="shared" si="0"/>
        <v>1.096774193548387</v>
      </c>
      <c r="AJ10" s="33">
        <f t="shared" ref="AJ10:AJ14" si="1">SUM(D10,E10,F10,G10,H10,I10,J10,K10,L10,M10,N10,O10,P10,Q10,R10,S10,T10,U10,V10,W10,X10,Y10,Z10,AA10,AB10,AC10,AD10,AE10,AF10,AG10,AH10)</f>
        <v>34</v>
      </c>
      <c r="AK10" s="5">
        <f>(AJ10/(AJ3+AJ4))*100</f>
        <v>6.8000000000000007</v>
      </c>
    </row>
    <row r="11" spans="1:37" ht="18.95" customHeight="1" x14ac:dyDescent="0.3">
      <c r="A11" s="104"/>
      <c r="B11" s="106"/>
      <c r="C11" s="60" t="s">
        <v>20</v>
      </c>
      <c r="D11" s="2"/>
      <c r="E11" s="2"/>
      <c r="F11" s="2"/>
      <c r="G11" s="2"/>
      <c r="H11" s="2"/>
      <c r="I11" s="2"/>
      <c r="J11" s="22"/>
      <c r="K11" s="2">
        <v>17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>
        <v>24</v>
      </c>
      <c r="X11" s="2"/>
      <c r="Y11" s="2"/>
      <c r="Z11" s="2"/>
      <c r="AA11" s="2"/>
      <c r="AB11" s="2"/>
      <c r="AC11" s="21"/>
      <c r="AD11" s="2"/>
      <c r="AE11" s="23"/>
      <c r="AF11" s="2"/>
      <c r="AG11" s="23"/>
      <c r="AH11" s="2"/>
      <c r="AI11" s="43">
        <f t="shared" si="0"/>
        <v>1.3225806451612903</v>
      </c>
      <c r="AJ11" s="32">
        <f>SUM(D11,E11,F11,G11,H11,I11,J11,K11,L11,M11,N11,O11,P11,Q11,R11,S11,T11,U11,V11,W11,X11,Y11,Z11,AA11,AB11,AC11,AD11,AE11,AF11,AG11,AH11)</f>
        <v>41</v>
      </c>
      <c r="AK11" s="3">
        <f>(AJ11/(AJ3+AJ4))*100</f>
        <v>8.2000000000000011</v>
      </c>
    </row>
    <row r="12" spans="1:37" ht="18.95" customHeight="1" x14ac:dyDescent="0.3">
      <c r="A12" s="104"/>
      <c r="B12" s="107" t="s">
        <v>21</v>
      </c>
      <c r="C12" s="62" t="s">
        <v>2</v>
      </c>
      <c r="D12" s="6"/>
      <c r="E12" s="6"/>
      <c r="F12" s="6"/>
      <c r="G12" s="6"/>
      <c r="H12" s="6"/>
      <c r="I12" s="6"/>
      <c r="J12" s="26"/>
      <c r="K12" s="6"/>
      <c r="L12" s="6"/>
      <c r="M12" s="6"/>
      <c r="N12" s="6"/>
      <c r="O12" s="6"/>
      <c r="P12" s="6"/>
      <c r="Q12" s="6">
        <v>35</v>
      </c>
      <c r="R12" s="6">
        <v>30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27"/>
      <c r="AD12" s="6"/>
      <c r="AE12" s="26"/>
      <c r="AF12" s="6"/>
      <c r="AG12" s="26"/>
      <c r="AH12" s="6"/>
      <c r="AI12" s="45">
        <f t="shared" si="0"/>
        <v>2.096774193548387</v>
      </c>
      <c r="AJ12" s="34">
        <f>SUM(D12,E12,F12,G12,H12,I12,J12,K12,L12,M12,N12,O12,P12,Q12,R12,S12,T12,U12,V12,W12,X12,Y12,Z12,AA12,AB12,AC12,AD12,AE12,AF12,AG12,AH12)</f>
        <v>65</v>
      </c>
      <c r="AK12" s="7">
        <f>(AJ12/(AJ3+AJ4))*100</f>
        <v>13</v>
      </c>
    </row>
    <row r="13" spans="1:37" ht="18.95" customHeight="1" x14ac:dyDescent="0.3">
      <c r="A13" s="104"/>
      <c r="B13" s="108"/>
      <c r="C13" s="62" t="s">
        <v>22</v>
      </c>
      <c r="D13" s="8"/>
      <c r="E13" s="8"/>
      <c r="F13" s="8"/>
      <c r="G13" s="8"/>
      <c r="H13" s="8"/>
      <c r="I13" s="8"/>
      <c r="J13" s="29"/>
      <c r="K13" s="8"/>
      <c r="L13" s="8"/>
      <c r="M13" s="8"/>
      <c r="N13" s="8"/>
      <c r="O13" s="8"/>
      <c r="P13" s="8"/>
      <c r="Q13" s="8">
        <v>10</v>
      </c>
      <c r="R13" s="8">
        <v>9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28"/>
      <c r="AD13" s="8"/>
      <c r="AE13" s="30"/>
      <c r="AF13" s="8"/>
      <c r="AG13" s="30"/>
      <c r="AH13" s="8"/>
      <c r="AI13" s="46">
        <f t="shared" si="0"/>
        <v>0.61290322580645162</v>
      </c>
      <c r="AJ13" s="35">
        <f>SUM(D13,E13,F13,G13,H13,I13,J13,K13,L13,M13,N13,O13,P13,Q13,R13,S13,T13,U13,V13,W13,X13,Y13,Z13,AA13,AB13,AC13,AD13,AE13,AF13,AG13,AH13)</f>
        <v>19</v>
      </c>
      <c r="AK13" s="9">
        <f>(AJ13/(AJ3+AJ4))*100</f>
        <v>3.8</v>
      </c>
    </row>
    <row r="14" spans="1:37" ht="18.95" customHeight="1" x14ac:dyDescent="0.3">
      <c r="A14" s="104"/>
      <c r="B14" s="108"/>
      <c r="C14" s="56" t="s">
        <v>23</v>
      </c>
      <c r="D14" s="6">
        <v>340</v>
      </c>
      <c r="E14" s="6"/>
      <c r="F14" s="6"/>
      <c r="G14" s="6"/>
      <c r="H14" s="6"/>
      <c r="I14" s="6">
        <v>110</v>
      </c>
      <c r="J14" s="26"/>
      <c r="K14" s="6">
        <v>62</v>
      </c>
      <c r="L14" s="6"/>
      <c r="M14" s="6"/>
      <c r="N14" s="6">
        <v>188</v>
      </c>
      <c r="O14" s="6"/>
      <c r="P14" s="6"/>
      <c r="Q14" s="6"/>
      <c r="R14" s="6"/>
      <c r="S14" s="6"/>
      <c r="T14" s="6">
        <v>275</v>
      </c>
      <c r="U14" s="6"/>
      <c r="V14" s="6"/>
      <c r="W14" s="6"/>
      <c r="X14" s="6">
        <v>169</v>
      </c>
      <c r="Y14" s="6">
        <v>564</v>
      </c>
      <c r="Z14" s="6"/>
      <c r="AA14" s="6"/>
      <c r="AB14" s="6"/>
      <c r="AC14" s="27"/>
      <c r="AD14" s="6"/>
      <c r="AE14" s="26"/>
      <c r="AF14" s="6"/>
      <c r="AG14" s="26">
        <v>113</v>
      </c>
      <c r="AH14" s="6"/>
      <c r="AI14" s="45">
        <f t="shared" si="0"/>
        <v>58.741935483870968</v>
      </c>
      <c r="AJ14" s="34">
        <f t="shared" si="1"/>
        <v>1821</v>
      </c>
      <c r="AK14" s="7">
        <f>(AJ14/(AJ3+AJ4))*100</f>
        <v>364.2</v>
      </c>
    </row>
    <row r="15" spans="1:37" ht="18.95" customHeight="1" x14ac:dyDescent="0.3">
      <c r="A15" s="104"/>
      <c r="B15" s="108"/>
      <c r="C15" s="62" t="s">
        <v>24</v>
      </c>
      <c r="D15" s="51"/>
      <c r="E15" s="51"/>
      <c r="F15" s="51"/>
      <c r="G15" s="51"/>
      <c r="H15" s="51"/>
      <c r="I15" s="51"/>
      <c r="J15" s="50"/>
      <c r="K15" s="51">
        <v>48</v>
      </c>
      <c r="L15" s="51"/>
      <c r="M15" s="51"/>
      <c r="N15" s="51"/>
      <c r="O15" s="51"/>
      <c r="P15" s="51"/>
      <c r="Q15" s="51"/>
      <c r="R15" s="51">
        <v>72</v>
      </c>
      <c r="S15" s="51">
        <v>72</v>
      </c>
      <c r="T15" s="51"/>
      <c r="U15" s="51"/>
      <c r="V15" s="51">
        <v>48</v>
      </c>
      <c r="W15" s="51"/>
      <c r="X15" s="51"/>
      <c r="Y15" s="51"/>
      <c r="Z15" s="51">
        <v>24</v>
      </c>
      <c r="AA15" s="51"/>
      <c r="AB15" s="51"/>
      <c r="AC15" s="52"/>
      <c r="AD15" s="51"/>
      <c r="AE15" s="50"/>
      <c r="AF15" s="51"/>
      <c r="AG15" s="50"/>
      <c r="AH15" s="51"/>
      <c r="AI15" s="45">
        <f t="shared" si="0"/>
        <v>8.5161290322580641</v>
      </c>
      <c r="AJ15" s="34">
        <f>SUM(D15,E15,F15,G15,H15,I15,J15,K15,L15,M15,N15,O15,P15,Q15,R15,S15,T15,U15,V15,W15,X15,Y15,Z15,AA15,AB15,AC15,AD15,AE15,AF15,AG15,AH15)</f>
        <v>264</v>
      </c>
      <c r="AK15" s="7">
        <f>(AJ15/(AJ3+AJ4))*100</f>
        <v>52.800000000000004</v>
      </c>
    </row>
    <row r="16" spans="1:37" ht="18.399999999999999" customHeight="1" x14ac:dyDescent="0.3">
      <c r="A16" s="105"/>
      <c r="B16" s="94" t="s">
        <v>25</v>
      </c>
      <c r="C16" s="95"/>
      <c r="D16" s="94">
        <f>SUM(D5:E15)+754</f>
        <v>1127</v>
      </c>
      <c r="E16" s="96"/>
      <c r="F16" s="94">
        <f>SUM(F5:L15)</f>
        <v>502</v>
      </c>
      <c r="G16" s="95"/>
      <c r="H16" s="95"/>
      <c r="I16" s="95"/>
      <c r="J16" s="95"/>
      <c r="K16" s="95"/>
      <c r="L16" s="96"/>
      <c r="M16" s="94">
        <f>SUM(M5:S15)</f>
        <v>1099</v>
      </c>
      <c r="N16" s="95"/>
      <c r="O16" s="95"/>
      <c r="P16" s="95"/>
      <c r="Q16" s="95"/>
      <c r="R16" s="95"/>
      <c r="S16" s="96"/>
      <c r="T16" s="94">
        <f>SUM(T5:Z15)</f>
        <v>1366</v>
      </c>
      <c r="U16" s="95"/>
      <c r="V16" s="95"/>
      <c r="W16" s="95"/>
      <c r="X16" s="95"/>
      <c r="Y16" s="95"/>
      <c r="Z16" s="96"/>
      <c r="AA16" s="94">
        <f>SUM(AA5:AG15)</f>
        <v>1379</v>
      </c>
      <c r="AB16" s="95"/>
      <c r="AC16" s="95"/>
      <c r="AD16" s="95"/>
      <c r="AE16" s="95"/>
      <c r="AF16" s="95"/>
      <c r="AG16" s="96"/>
      <c r="AH16" s="64"/>
      <c r="AI16" s="53">
        <f>AJ16/31</f>
        <v>152.2258064516129</v>
      </c>
      <c r="AJ16" s="49">
        <f>SUM(AJ5,AJ6,AJ7,AJ8,AJ9,AJ10,AJ11,AJ12,AJ13,AJ14,AJ15)</f>
        <v>4719</v>
      </c>
      <c r="AK16" s="10">
        <f>SUM(AK5,AK6,AK7,AK8,AK9,AK10,AK11,AK12,AK13,AK14,AK15)</f>
        <v>943.8</v>
      </c>
    </row>
    <row r="17" spans="1:37" ht="18" customHeight="1" x14ac:dyDescent="0.3">
      <c r="A17" s="97" t="s">
        <v>26</v>
      </c>
      <c r="B17" s="97"/>
      <c r="C17" s="109"/>
      <c r="D17" s="98">
        <v>9795</v>
      </c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100"/>
      <c r="AJ17" s="101"/>
      <c r="AK17" s="69"/>
    </row>
    <row r="18" spans="1:37" ht="18" customHeight="1" x14ac:dyDescent="0.3">
      <c r="A18" s="89" t="s">
        <v>27</v>
      </c>
      <c r="B18" s="89"/>
      <c r="C18" s="90"/>
      <c r="D18" s="102">
        <f>(AJ3+AJ4)-AJ16</f>
        <v>-4219</v>
      </c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1"/>
      <c r="AK18" s="31">
        <f>((AJ3+AJ4-AJ16)/(AJ3+AJ4))*100</f>
        <v>-843.80000000000007</v>
      </c>
    </row>
    <row r="19" spans="1:37" ht="18" customHeight="1" x14ac:dyDescent="0.3">
      <c r="A19" s="88" t="s">
        <v>28</v>
      </c>
      <c r="B19" s="89"/>
      <c r="C19" s="90"/>
      <c r="D19" s="91">
        <f>(AJ3+AJ4+D17)-AJ16</f>
        <v>5576</v>
      </c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3"/>
      <c r="AK19" s="54"/>
    </row>
    <row r="24" spans="1:37" x14ac:dyDescent="0.3">
      <c r="S24" s="1" t="s">
        <v>10</v>
      </c>
    </row>
  </sheetData>
  <mergeCells count="22">
    <mergeCell ref="A1:C2"/>
    <mergeCell ref="AI1:AI2"/>
    <mergeCell ref="AJ1:AJ2"/>
    <mergeCell ref="AK1:AK2"/>
    <mergeCell ref="A3:B4"/>
    <mergeCell ref="AI3:AI4"/>
    <mergeCell ref="AK3:AK4"/>
    <mergeCell ref="A19:C19"/>
    <mergeCell ref="D19:AJ19"/>
    <mergeCell ref="D16:E16"/>
    <mergeCell ref="F16:L16"/>
    <mergeCell ref="M16:S16"/>
    <mergeCell ref="T16:Z16"/>
    <mergeCell ref="AA16:AG16"/>
    <mergeCell ref="A17:C17"/>
    <mergeCell ref="D17:AJ17"/>
    <mergeCell ref="A18:C18"/>
    <mergeCell ref="D18:AJ18"/>
    <mergeCell ref="A5:A16"/>
    <mergeCell ref="B5:B11"/>
    <mergeCell ref="B12:B15"/>
    <mergeCell ref="B16:C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Січень 2017</vt:lpstr>
      <vt:lpstr>Лютий 2017</vt:lpstr>
      <vt:lpstr>Березень 2017 </vt:lpstr>
      <vt:lpstr>Квітень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2026-08-28T08:33:43Z</dcterms:modified>
</cp:coreProperties>
</file>