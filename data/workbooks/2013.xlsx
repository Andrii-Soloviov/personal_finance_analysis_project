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9DF73BA8-E620-4C29-AD00-658BE8910AF4}" xr6:coauthVersionLast="47" xr6:coauthVersionMax="47" xr10:uidLastSave="{00000000-0000-0000-0000-000000000000}"/>
  <bookViews>
    <workbookView xWindow="-120" yWindow="-120" windowWidth="20730" windowHeight="11760" firstSheet="7" activeTab="11" xr2:uid="{00000000-000D-0000-FFFF-FFFF00000000}"/>
  </bookViews>
  <sheets>
    <sheet name="Січень 2013 " sheetId="4" r:id="rId1"/>
    <sheet name="Лютий 2013 " sheetId="5" r:id="rId2"/>
    <sheet name="Березень 2013" sheetId="6" r:id="rId3"/>
    <sheet name="Квітень 2013" sheetId="7" r:id="rId4"/>
    <sheet name="Травень 2013" sheetId="8" r:id="rId5"/>
    <sheet name="Червень 2013" sheetId="9" r:id="rId6"/>
    <sheet name="Липень 2013" sheetId="10" r:id="rId7"/>
    <sheet name="Серпень 2013" sheetId="11" r:id="rId8"/>
    <sheet name="Вересень 2013" sheetId="13" r:id="rId9"/>
    <sheet name="Жовтень 2013" sheetId="14" r:id="rId10"/>
    <sheet name="Листопад 2013" sheetId="15" r:id="rId11"/>
    <sheet name="Грудень 2013" sheetId="1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6" i="16" l="1"/>
  <c r="S16" i="16"/>
  <c r="L16" i="16"/>
  <c r="E16" i="16"/>
  <c r="AJ15" i="16"/>
  <c r="AI15" i="16" s="1"/>
  <c r="AJ14" i="16"/>
  <c r="AI14" i="16" s="1"/>
  <c r="AJ13" i="16"/>
  <c r="AI13" i="16" s="1"/>
  <c r="AJ12" i="16"/>
  <c r="AI12" i="16" s="1"/>
  <c r="AJ11" i="16"/>
  <c r="AI11" i="16" s="1"/>
  <c r="AJ10" i="16"/>
  <c r="AI10" i="16" s="1"/>
  <c r="AJ9" i="16"/>
  <c r="AI9" i="16" s="1"/>
  <c r="AJ8" i="16"/>
  <c r="AI8" i="16" s="1"/>
  <c r="AJ7" i="16"/>
  <c r="AI7" i="16" s="1"/>
  <c r="AJ6" i="16"/>
  <c r="AI6" i="16" s="1"/>
  <c r="AJ5" i="16"/>
  <c r="AI5" i="16" s="1"/>
  <c r="AJ4" i="16"/>
  <c r="AJ3" i="16"/>
  <c r="AI3" i="16" s="1"/>
  <c r="AJ16" i="16" l="1"/>
  <c r="AI16" i="16" s="1"/>
  <c r="AK7" i="16"/>
  <c r="AK11" i="16"/>
  <c r="AK15" i="16"/>
  <c r="AK9" i="16"/>
  <c r="AK13" i="16"/>
  <c r="AK14" i="16"/>
  <c r="AK5" i="16"/>
  <c r="AK6" i="16"/>
  <c r="AK8" i="16"/>
  <c r="AK10" i="16"/>
  <c r="AK12" i="16"/>
  <c r="AJ15" i="15"/>
  <c r="D19" i="16" l="1"/>
  <c r="AK18" i="16"/>
  <c r="D18" i="16"/>
  <c r="AK16" i="16"/>
  <c r="AJ11" i="14"/>
  <c r="D16" i="15" l="1"/>
  <c r="AB16" i="15"/>
  <c r="U16" i="15"/>
  <c r="N16" i="15"/>
  <c r="G16" i="15"/>
  <c r="AI15" i="15"/>
  <c r="AJ14" i="15"/>
  <c r="AI14" i="15" s="1"/>
  <c r="AJ13" i="15"/>
  <c r="AI13" i="15" s="1"/>
  <c r="AJ12" i="15"/>
  <c r="AI12" i="15" s="1"/>
  <c r="AJ11" i="15"/>
  <c r="AI11" i="15" s="1"/>
  <c r="AJ10" i="15"/>
  <c r="AI10" i="15" s="1"/>
  <c r="AJ9" i="15"/>
  <c r="AI9" i="15" s="1"/>
  <c r="AJ8" i="15"/>
  <c r="AI8" i="15" s="1"/>
  <c r="AJ7" i="15"/>
  <c r="AI7" i="15" s="1"/>
  <c r="AJ6" i="15"/>
  <c r="AJ5" i="15"/>
  <c r="AJ4" i="15"/>
  <c r="AJ3" i="15"/>
  <c r="AI3" i="15" l="1"/>
  <c r="AK5" i="15"/>
  <c r="AK6" i="15"/>
  <c r="AJ16" i="15"/>
  <c r="AI16" i="15" s="1"/>
  <c r="AI5" i="15"/>
  <c r="AI6" i="15"/>
  <c r="AK9" i="15"/>
  <c r="AK14" i="15"/>
  <c r="AK10" i="15"/>
  <c r="AK8" i="15"/>
  <c r="AK13" i="15"/>
  <c r="AK12" i="15"/>
  <c r="AK11" i="15"/>
  <c r="AK7" i="15"/>
  <c r="AK15" i="15"/>
  <c r="AK18" i="15" l="1"/>
  <c r="D19" i="15"/>
  <c r="D18" i="15"/>
  <c r="AK16" i="15"/>
  <c r="D16" i="14"/>
  <c r="AE16" i="14"/>
  <c r="X16" i="14"/>
  <c r="Q16" i="14"/>
  <c r="J16" i="14"/>
  <c r="AJ15" i="14"/>
  <c r="AI15" i="14" s="1"/>
  <c r="AJ14" i="14"/>
  <c r="AI14" i="14" s="1"/>
  <c r="AJ13" i="14"/>
  <c r="AI13" i="14" s="1"/>
  <c r="AJ12" i="14"/>
  <c r="AI12" i="14" s="1"/>
  <c r="AI11" i="14"/>
  <c r="AJ10" i="14"/>
  <c r="AI10" i="14" s="1"/>
  <c r="AJ9" i="14"/>
  <c r="AI9" i="14" s="1"/>
  <c r="AJ8" i="14"/>
  <c r="AI8" i="14" s="1"/>
  <c r="AJ7" i="14"/>
  <c r="AJ6" i="14"/>
  <c r="AJ5" i="14"/>
  <c r="AJ4" i="14"/>
  <c r="AJ3" i="14"/>
  <c r="AI3" i="14" l="1"/>
  <c r="AJ16" i="14"/>
  <c r="D18" i="14" s="1"/>
  <c r="AK7" i="14"/>
  <c r="AK6" i="14"/>
  <c r="AI5" i="14"/>
  <c r="AI7" i="14"/>
  <c r="AK11" i="14"/>
  <c r="AK14" i="14"/>
  <c r="AK10" i="14"/>
  <c r="AI6" i="14"/>
  <c r="AK15" i="14"/>
  <c r="AK5" i="14"/>
  <c r="AK13" i="14"/>
  <c r="AK12" i="14"/>
  <c r="AK9" i="14"/>
  <c r="AK8" i="14"/>
  <c r="AJ5" i="11"/>
  <c r="AJ6" i="11"/>
  <c r="AJ7" i="11"/>
  <c r="AJ8" i="11"/>
  <c r="AJ9" i="11"/>
  <c r="AJ10" i="11"/>
  <c r="AJ11" i="11"/>
  <c r="AJ12" i="11"/>
  <c r="AJ13" i="11"/>
  <c r="AJ14" i="11"/>
  <c r="AJ15" i="11"/>
  <c r="AI16" i="14" l="1"/>
  <c r="AK18" i="14"/>
  <c r="AK16" i="14"/>
  <c r="L16" i="13"/>
  <c r="E16" i="13"/>
  <c r="O16" i="11"/>
  <c r="K16" i="10"/>
  <c r="Z16" i="13" l="1"/>
  <c r="S16" i="13"/>
  <c r="D16" i="11"/>
  <c r="AC16" i="11"/>
  <c r="AJ15" i="13"/>
  <c r="AI15" i="13" s="1"/>
  <c r="AJ14" i="13"/>
  <c r="AI14" i="13" s="1"/>
  <c r="AJ13" i="13"/>
  <c r="AI13" i="13" s="1"/>
  <c r="AJ12" i="13"/>
  <c r="AI12" i="13" s="1"/>
  <c r="AJ11" i="13"/>
  <c r="AI11" i="13" s="1"/>
  <c r="AJ10" i="13"/>
  <c r="AI10" i="13" s="1"/>
  <c r="AJ9" i="13"/>
  <c r="AI9" i="13" s="1"/>
  <c r="AJ8" i="13"/>
  <c r="AI8" i="13" s="1"/>
  <c r="AJ7" i="13"/>
  <c r="AI7" i="13" s="1"/>
  <c r="AJ6" i="13"/>
  <c r="AI6" i="13" s="1"/>
  <c r="AJ4" i="13"/>
  <c r="AJ3" i="13"/>
  <c r="AI3" i="13" s="1"/>
  <c r="AK12" i="13" l="1"/>
  <c r="AK6" i="13"/>
  <c r="AK9" i="13"/>
  <c r="AK14" i="13"/>
  <c r="AK10" i="13"/>
  <c r="AK13" i="13"/>
  <c r="AK8" i="13"/>
  <c r="AK7" i="13"/>
  <c r="AK15" i="13"/>
  <c r="AK11" i="13"/>
  <c r="H16" i="11"/>
  <c r="AJ15" i="10"/>
  <c r="AJ13" i="10"/>
  <c r="AJ12" i="10"/>
  <c r="AJ11" i="10"/>
  <c r="AI11" i="10" s="1"/>
  <c r="AJ10" i="10"/>
  <c r="AJ5" i="10"/>
  <c r="AJ3" i="11" l="1"/>
  <c r="AJ4" i="11"/>
  <c r="AK5" i="11" l="1"/>
  <c r="V16" i="11"/>
  <c r="AF16" i="10"/>
  <c r="Y16" i="10"/>
  <c r="R16" i="10"/>
  <c r="D16" i="10"/>
  <c r="AA16" i="9"/>
  <c r="T16" i="9"/>
  <c r="M16" i="9"/>
  <c r="F16" i="9"/>
  <c r="D16" i="9"/>
  <c r="AD16" i="8"/>
  <c r="W16" i="8"/>
  <c r="P16" i="8"/>
  <c r="I16" i="8"/>
  <c r="D16" i="8"/>
  <c r="AF16" i="7"/>
  <c r="Y16" i="7"/>
  <c r="R16" i="7"/>
  <c r="K16" i="7"/>
  <c r="D16" i="7"/>
  <c r="AB16" i="6"/>
  <c r="U16" i="6"/>
  <c r="N16" i="6"/>
  <c r="G16" i="6"/>
  <c r="D16" i="6"/>
  <c r="AI15" i="6"/>
  <c r="AB14" i="5"/>
  <c r="U14" i="5"/>
  <c r="N14" i="5"/>
  <c r="G14" i="5"/>
  <c r="D14" i="5"/>
  <c r="AE14" i="4"/>
  <c r="X14" i="4"/>
  <c r="Q14" i="4"/>
  <c r="J14" i="4"/>
  <c r="D14" i="4"/>
  <c r="AI13" i="4"/>
  <c r="AJ3" i="5" l="1"/>
  <c r="AJ3" i="4"/>
  <c r="AK15" i="11" l="1"/>
  <c r="AI14" i="11"/>
  <c r="AI13" i="11"/>
  <c r="AI12" i="11"/>
  <c r="AK10" i="11"/>
  <c r="AK7" i="11"/>
  <c r="AI11" i="11" l="1"/>
  <c r="AJ16" i="11"/>
  <c r="AK18" i="11" s="1"/>
  <c r="AI9" i="11"/>
  <c r="AK9" i="11"/>
  <c r="AK13" i="11"/>
  <c r="AK11" i="11"/>
  <c r="AK14" i="11"/>
  <c r="AK12" i="11"/>
  <c r="AI5" i="11"/>
  <c r="AI6" i="11"/>
  <c r="AK6" i="11"/>
  <c r="AI8" i="11"/>
  <c r="AK8" i="11"/>
  <c r="AI10" i="11"/>
  <c r="AI3" i="11"/>
  <c r="AI7" i="11"/>
  <c r="AI15" i="11"/>
  <c r="AI14" i="10"/>
  <c r="AI13" i="10"/>
  <c r="AI10" i="10"/>
  <c r="D18" i="11" l="1"/>
  <c r="AI16" i="11"/>
  <c r="AK16" i="11"/>
  <c r="AI15" i="10"/>
  <c r="AI12" i="10"/>
  <c r="AJ9" i="10"/>
  <c r="AI9" i="10" s="1"/>
  <c r="AJ8" i="10"/>
  <c r="AI8" i="10" s="1"/>
  <c r="AJ7" i="10"/>
  <c r="AI7" i="10" s="1"/>
  <c r="AJ6" i="10"/>
  <c r="AI6" i="10" s="1"/>
  <c r="AJ3" i="10"/>
  <c r="AI3" i="10" s="1"/>
  <c r="AI5" i="10" l="1"/>
  <c r="AJ16" i="10"/>
  <c r="AI16" i="10" s="1"/>
  <c r="AK13" i="10"/>
  <c r="AK9" i="10"/>
  <c r="AK12" i="10"/>
  <c r="AK8" i="10"/>
  <c r="AK6" i="10"/>
  <c r="AK10" i="10"/>
  <c r="AK14" i="10"/>
  <c r="AK5" i="10"/>
  <c r="AK7" i="10"/>
  <c r="AK11" i="10"/>
  <c r="AK15" i="10"/>
  <c r="AI15" i="9"/>
  <c r="AI14" i="9"/>
  <c r="AI13" i="9"/>
  <c r="AI12" i="9"/>
  <c r="AI11" i="9"/>
  <c r="AI10" i="9"/>
  <c r="AJ9" i="9"/>
  <c r="AI9" i="9" s="1"/>
  <c r="AJ8" i="9"/>
  <c r="AI8" i="9" s="1"/>
  <c r="AJ7" i="9"/>
  <c r="AI7" i="9" s="1"/>
  <c r="AJ6" i="9"/>
  <c r="AI6" i="9" s="1"/>
  <c r="AJ5" i="9"/>
  <c r="AJ3" i="9"/>
  <c r="D18" i="10" l="1"/>
  <c r="AK18" i="10"/>
  <c r="AI5" i="9"/>
  <c r="AJ16" i="9"/>
  <c r="AI16" i="9" s="1"/>
  <c r="AI3" i="9"/>
  <c r="AK16" i="10"/>
  <c r="AK6" i="9"/>
  <c r="AK8" i="9"/>
  <c r="AK10" i="9"/>
  <c r="AK12" i="9"/>
  <c r="AK14" i="9"/>
  <c r="AK7" i="9"/>
  <c r="AK11" i="9"/>
  <c r="AK15" i="9"/>
  <c r="AK5" i="9"/>
  <c r="AK9" i="9"/>
  <c r="AK13" i="9"/>
  <c r="AI15" i="8"/>
  <c r="AI14" i="8"/>
  <c r="AI13" i="8"/>
  <c r="AI12" i="8"/>
  <c r="AI11" i="8"/>
  <c r="AI10" i="8"/>
  <c r="AJ9" i="8"/>
  <c r="AI9" i="8" s="1"/>
  <c r="AJ8" i="8"/>
  <c r="AI8" i="8" s="1"/>
  <c r="AJ7" i="8"/>
  <c r="AI7" i="8" s="1"/>
  <c r="AJ6" i="8"/>
  <c r="AI6" i="8" s="1"/>
  <c r="AJ5" i="8"/>
  <c r="AJ3" i="8"/>
  <c r="AK18" i="9" l="1"/>
  <c r="D18" i="9"/>
  <c r="AI5" i="8"/>
  <c r="AJ16" i="8"/>
  <c r="AI16" i="8" s="1"/>
  <c r="AI3" i="8"/>
  <c r="AK16" i="9"/>
  <c r="AK6" i="8"/>
  <c r="AK11" i="8"/>
  <c r="AK7" i="8"/>
  <c r="AK14" i="8"/>
  <c r="AK10" i="8"/>
  <c r="AK12" i="8"/>
  <c r="AK8" i="8"/>
  <c r="AK15" i="8"/>
  <c r="AK5" i="8"/>
  <c r="AK9" i="8"/>
  <c r="AK13" i="8"/>
  <c r="AI15" i="7"/>
  <c r="AI14" i="7"/>
  <c r="AI13" i="7"/>
  <c r="AI12" i="7"/>
  <c r="AI11" i="7"/>
  <c r="AI10" i="7"/>
  <c r="AJ9" i="7"/>
  <c r="AI9" i="7" s="1"/>
  <c r="AJ8" i="7"/>
  <c r="AI8" i="7" s="1"/>
  <c r="AJ7" i="7"/>
  <c r="AJ6" i="7"/>
  <c r="AI6" i="7" s="1"/>
  <c r="AJ5" i="7"/>
  <c r="AJ3" i="7"/>
  <c r="D18" i="8" l="1"/>
  <c r="AK18" i="8"/>
  <c r="AI3" i="7"/>
  <c r="AI5" i="7"/>
  <c r="AJ16" i="7"/>
  <c r="AI16" i="7" s="1"/>
  <c r="AK16" i="8"/>
  <c r="AK7" i="7"/>
  <c r="AI7" i="7"/>
  <c r="AK14" i="7"/>
  <c r="AK6" i="7"/>
  <c r="AK10" i="7"/>
  <c r="AK12" i="7"/>
  <c r="AK8" i="7"/>
  <c r="AK15" i="7"/>
  <c r="AK9" i="7"/>
  <c r="AK13" i="7"/>
  <c r="AK5" i="7"/>
  <c r="AK11" i="7"/>
  <c r="AJ8" i="6"/>
  <c r="AI8" i="6" s="1"/>
  <c r="AJ7" i="6"/>
  <c r="AI7" i="6" s="1"/>
  <c r="AK18" i="7" l="1"/>
  <c r="D18" i="7"/>
  <c r="AK16" i="7"/>
  <c r="AI14" i="6"/>
  <c r="AI12" i="6"/>
  <c r="AI11" i="6"/>
  <c r="AI10" i="6"/>
  <c r="AJ9" i="6"/>
  <c r="AI9" i="6" s="1"/>
  <c r="AJ6" i="6"/>
  <c r="AJ5" i="6"/>
  <c r="AJ3" i="6"/>
  <c r="AI5" i="6" l="1"/>
  <c r="AJ16" i="6"/>
  <c r="AI16" i="6" s="1"/>
  <c r="AI13" i="6"/>
  <c r="AK7" i="6"/>
  <c r="AI3" i="6"/>
  <c r="AK8" i="6"/>
  <c r="AK6" i="6"/>
  <c r="AI6" i="6"/>
  <c r="AK5" i="6"/>
  <c r="AK11" i="6"/>
  <c r="AK15" i="6"/>
  <c r="AK12" i="6"/>
  <c r="AK9" i="6"/>
  <c r="AK13" i="6"/>
  <c r="AK10" i="6"/>
  <c r="AK14" i="6"/>
  <c r="AI13" i="5"/>
  <c r="AI12" i="5"/>
  <c r="AI11" i="5"/>
  <c r="AI10" i="5"/>
  <c r="AI9" i="5"/>
  <c r="AI8" i="5"/>
  <c r="AJ7" i="5"/>
  <c r="AI7" i="5" s="1"/>
  <c r="AJ6" i="5"/>
  <c r="AI6" i="5" s="1"/>
  <c r="AJ5" i="5"/>
  <c r="AI3" i="5"/>
  <c r="AK18" i="6" l="1"/>
  <c r="AI5" i="5"/>
  <c r="AJ14" i="5"/>
  <c r="D18" i="6"/>
  <c r="AK16" i="6"/>
  <c r="AK11" i="5"/>
  <c r="AK6" i="5"/>
  <c r="AK7" i="5"/>
  <c r="AK10" i="5"/>
  <c r="AK8" i="5"/>
  <c r="AK12" i="5"/>
  <c r="AK5" i="5"/>
  <c r="AK9" i="5"/>
  <c r="AK13" i="5"/>
  <c r="AI12" i="4"/>
  <c r="AI11" i="4"/>
  <c r="AI10" i="4"/>
  <c r="AI9" i="4"/>
  <c r="AI8" i="4"/>
  <c r="AJ7" i="4"/>
  <c r="AI7" i="4" s="1"/>
  <c r="AJ6" i="4"/>
  <c r="AI6" i="4" s="1"/>
  <c r="AJ5" i="4"/>
  <c r="AI5" i="4" l="1"/>
  <c r="AJ14" i="4"/>
  <c r="AI14" i="5"/>
  <c r="D16" i="5"/>
  <c r="AK16" i="5"/>
  <c r="AI3" i="4"/>
  <c r="AK14" i="5"/>
  <c r="AK9" i="4"/>
  <c r="AK6" i="4"/>
  <c r="AK10" i="4"/>
  <c r="AK7" i="4"/>
  <c r="AK11" i="4"/>
  <c r="AK8" i="4"/>
  <c r="AK12" i="4"/>
  <c r="AK5" i="4"/>
  <c r="AK13" i="4"/>
  <c r="AK14" i="4" l="1"/>
  <c r="AI14" i="4"/>
  <c r="AK16" i="4"/>
  <c r="D16" i="4"/>
  <c r="AJ5" i="13"/>
  <c r="AK5" i="13" s="1"/>
  <c r="AK16" i="13" s="1"/>
  <c r="AI5" i="13" l="1"/>
  <c r="AJ16" i="13"/>
  <c r="AK18" i="13" s="1"/>
  <c r="AI16" i="13" l="1"/>
  <c r="D18" i="13"/>
</calcChain>
</file>

<file path=xl/sharedStrings.xml><?xml version="1.0" encoding="utf-8"?>
<sst xmlns="http://schemas.openxmlformats.org/spreadsheetml/2006/main" count="639" uniqueCount="33">
  <si>
    <t>Зарплата</t>
  </si>
  <si>
    <t>Квартира</t>
  </si>
  <si>
    <t>Алкоголь</t>
  </si>
  <si>
    <t>вс</t>
  </si>
  <si>
    <t>сб</t>
  </si>
  <si>
    <t>пт</t>
  </si>
  <si>
    <t>чт</t>
  </si>
  <si>
    <t>ср</t>
  </si>
  <si>
    <t>вт</t>
  </si>
  <si>
    <t>пн</t>
  </si>
  <si>
    <t>%</t>
  </si>
  <si>
    <t>Баланс</t>
  </si>
  <si>
    <t>Інші доходи</t>
  </si>
  <si>
    <t>Харчування</t>
  </si>
  <si>
    <t>Проїзд</t>
  </si>
  <si>
    <t>Здоров'я</t>
  </si>
  <si>
    <t>Госп.Товари</t>
  </si>
  <si>
    <t>Борги</t>
  </si>
  <si>
    <t>Інші витрати</t>
  </si>
  <si>
    <t>Заходи</t>
  </si>
  <si>
    <t>Розваги</t>
  </si>
  <si>
    <t>Потреби</t>
  </si>
  <si>
    <t>Необов'язкове</t>
  </si>
  <si>
    <t>Всього</t>
  </si>
  <si>
    <t>Прибуток</t>
  </si>
  <si>
    <t>Баланс на поч. міс.</t>
  </si>
  <si>
    <t>Баланс на кін. міс.</t>
  </si>
  <si>
    <t>Витрати</t>
  </si>
  <si>
    <t>Доходи</t>
  </si>
  <si>
    <t>нд</t>
  </si>
  <si>
    <t>Всього за місяць</t>
  </si>
  <si>
    <t>В середньому</t>
  </si>
  <si>
    <t>Смаколики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</si>
</sst>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 diagonalUp="1">
      <left/>
      <right/>
      <top/>
      <bottom/>
      <diagonal style="thin">
        <color auto="1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/>
      <right style="thin">
        <color indexed="64"/>
      </right>
      <top/>
      <bottom style="thin">
        <color indexed="64"/>
      </bottom>
      <diagonal style="thin">
        <color auto="1"/>
      </diagonal>
    </border>
    <border diagonalUp="1">
      <left/>
      <right style="thin">
        <color indexed="64"/>
      </right>
      <top/>
      <bottom/>
      <diagonal style="thin">
        <color auto="1"/>
      </diagonal>
    </border>
    <border diagonalUp="1">
      <left/>
      <right/>
      <top/>
      <bottom style="thin">
        <color indexed="64"/>
      </bottom>
      <diagonal style="thin">
        <color auto="1"/>
      </diagonal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2" fillId="0" borderId="0" xfId="0" applyFont="1"/>
    <xf numFmtId="0" fontId="1" fillId="3" borderId="3" xfId="0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2" fillId="3" borderId="13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2" fillId="4" borderId="13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164" fontId="2" fillId="5" borderId="13" xfId="0" applyNumberFormat="1" applyFont="1" applyFill="1" applyBorder="1" applyAlignment="1">
      <alignment horizontal="center" vertical="center"/>
    </xf>
    <xf numFmtId="0" fontId="1" fillId="8" borderId="2" xfId="0" applyFont="1" applyFill="1" applyBorder="1"/>
    <xf numFmtId="0" fontId="1" fillId="8" borderId="8" xfId="0" applyFont="1" applyFill="1" applyBorder="1"/>
    <xf numFmtId="0" fontId="1" fillId="8" borderId="13" xfId="0" applyFont="1" applyFill="1" applyBorder="1"/>
    <xf numFmtId="0" fontId="1" fillId="8" borderId="1" xfId="0" applyFont="1" applyFill="1" applyBorder="1"/>
    <xf numFmtId="0" fontId="1" fillId="8" borderId="15" xfId="0" applyFont="1" applyFill="1" applyBorder="1"/>
    <xf numFmtId="0" fontId="2" fillId="6" borderId="1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164" fontId="2" fillId="6" borderId="1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2" fontId="1" fillId="4" borderId="3" xfId="0" applyNumberFormat="1" applyFont="1" applyFill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vertical="center"/>
    </xf>
    <xf numFmtId="0" fontId="2" fillId="5" borderId="15" xfId="0" applyFont="1" applyFill="1" applyBorder="1" applyAlignment="1">
      <alignment vertical="center"/>
    </xf>
    <xf numFmtId="0" fontId="2" fillId="5" borderId="13" xfId="0" applyFont="1" applyFill="1" applyBorder="1" applyAlignment="1">
      <alignment vertical="center"/>
    </xf>
    <xf numFmtId="0" fontId="2" fillId="6" borderId="13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2" fontId="2" fillId="5" borderId="13" xfId="0" applyNumberFormat="1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2" fillId="6" borderId="13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/>
    <xf numFmtId="0" fontId="5" fillId="2" borderId="4" xfId="0" applyFont="1" applyFill="1" applyBorder="1"/>
    <xf numFmtId="0" fontId="5" fillId="3" borderId="3" xfId="0" applyFont="1" applyFill="1" applyBorder="1"/>
    <xf numFmtId="0" fontId="5" fillId="3" borderId="1" xfId="0" applyFont="1" applyFill="1" applyBorder="1"/>
    <xf numFmtId="0" fontId="5" fillId="3" borderId="4" xfId="0" applyFont="1" applyFill="1" applyBorder="1"/>
    <xf numFmtId="0" fontId="5" fillId="4" borderId="1" xfId="0" applyFont="1" applyFill="1" applyBorder="1"/>
    <xf numFmtId="0" fontId="1" fillId="9" borderId="0" xfId="0" applyFont="1" applyFill="1" applyBorder="1"/>
    <xf numFmtId="0" fontId="1" fillId="9" borderId="0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8" xfId="0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9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right" vertical="center"/>
    </xf>
    <xf numFmtId="0" fontId="2" fillId="6" borderId="13" xfId="0" applyFont="1" applyFill="1" applyBorder="1" applyAlignment="1">
      <alignment horizontal="right" vertical="center"/>
    </xf>
    <xf numFmtId="0" fontId="2" fillId="7" borderId="10" xfId="0" applyFont="1" applyFill="1" applyBorder="1" applyAlignment="1">
      <alignment horizontal="center" vertical="center" textRotation="90"/>
    </xf>
    <xf numFmtId="0" fontId="2" fillId="7" borderId="11" xfId="0" applyFont="1" applyFill="1" applyBorder="1" applyAlignment="1">
      <alignment horizontal="center" vertical="center" textRotation="90"/>
    </xf>
    <xf numFmtId="0" fontId="2" fillId="3" borderId="3" xfId="0" applyFont="1" applyFill="1" applyBorder="1" applyAlignment="1">
      <alignment horizontal="center" vertical="center" textRotation="90"/>
    </xf>
    <xf numFmtId="0" fontId="1" fillId="4" borderId="2" xfId="0" applyFont="1" applyFill="1" applyBorder="1" applyAlignment="1">
      <alignment horizontal="center" vertical="center" textRotation="90"/>
    </xf>
    <xf numFmtId="0" fontId="1" fillId="4" borderId="3" xfId="0" applyFont="1" applyFill="1" applyBorder="1" applyAlignment="1">
      <alignment horizontal="center" vertical="center" textRotation="90"/>
    </xf>
    <xf numFmtId="0" fontId="1" fillId="4" borderId="4" xfId="0" applyFont="1" applyFill="1" applyBorder="1" applyAlignment="1">
      <alignment horizontal="center" vertical="center" textRotation="90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right" vertical="center"/>
    </xf>
    <xf numFmtId="0" fontId="2" fillId="5" borderId="1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textRotation="90"/>
    </xf>
    <xf numFmtId="0" fontId="4" fillId="7" borderId="3" xfId="0" applyFont="1" applyFill="1" applyBorder="1" applyAlignment="1">
      <alignment horizontal="center" vertical="center" textRotation="90"/>
    </xf>
    <xf numFmtId="0" fontId="4" fillId="7" borderId="4" xfId="0" applyFont="1" applyFill="1" applyBorder="1" applyAlignment="1">
      <alignment horizontal="center" vertical="center" textRotation="90"/>
    </xf>
    <xf numFmtId="0" fontId="2" fillId="5" borderId="14" xfId="0" applyNumberFormat="1" applyFont="1" applyFill="1" applyBorder="1" applyAlignment="1">
      <alignment horizontal="center" vertical="center"/>
    </xf>
    <xf numFmtId="0" fontId="2" fillId="5" borderId="15" xfId="0" applyNumberFormat="1" applyFont="1" applyFill="1" applyBorder="1" applyAlignment="1">
      <alignment horizontal="center" vertical="center"/>
    </xf>
    <xf numFmtId="0" fontId="2" fillId="5" borderId="13" xfId="0" applyNumberFormat="1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right" vertical="center"/>
    </xf>
    <xf numFmtId="0" fontId="2" fillId="6" borderId="14" xfId="0" applyFont="1" applyFill="1" applyBorder="1" applyAlignment="1">
      <alignment horizontal="right"/>
    </xf>
    <xf numFmtId="0" fontId="2" fillId="6" borderId="15" xfId="0" applyFont="1" applyFill="1" applyBorder="1" applyAlignment="1">
      <alignment horizontal="right"/>
    </xf>
    <xf numFmtId="0" fontId="2" fillId="6" borderId="13" xfId="0" applyFont="1" applyFill="1" applyBorder="1" applyAlignment="1">
      <alignment horizontal="right"/>
    </xf>
    <xf numFmtId="0" fontId="2" fillId="6" borderId="14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 textRotation="90"/>
    </xf>
    <xf numFmtId="0" fontId="3" fillId="4" borderId="3" xfId="0" applyFont="1" applyFill="1" applyBorder="1" applyAlignment="1">
      <alignment horizontal="center" vertical="center" textRotation="90"/>
    </xf>
    <xf numFmtId="0" fontId="3" fillId="4" borderId="4" xfId="0" applyFont="1" applyFill="1" applyBorder="1" applyAlignment="1">
      <alignment horizontal="center" vertical="center" textRotation="90"/>
    </xf>
    <xf numFmtId="0" fontId="3" fillId="4" borderId="2" xfId="0" applyFont="1" applyFill="1" applyBorder="1" applyAlignment="1">
      <alignment horizontal="center" textRotation="90"/>
    </xf>
    <xf numFmtId="0" fontId="3" fillId="4" borderId="3" xfId="0" applyFont="1" applyFill="1" applyBorder="1" applyAlignment="1">
      <alignment horizontal="center" textRotation="90"/>
    </xf>
    <xf numFmtId="0" fontId="3" fillId="4" borderId="4" xfId="0" applyFont="1" applyFill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45528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6"/>
  <sheetViews>
    <sheetView zoomScale="80" zoomScaleNormal="80" workbookViewId="0">
      <selection activeCell="B10" sqref="B10:B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1.85546875" style="1" customWidth="1"/>
    <col min="36" max="36" width="10.140625" style="1" customWidth="1"/>
    <col min="37" max="37" width="9.85546875" style="1" customWidth="1"/>
    <col min="38" max="16384" width="9.140625" style="1"/>
  </cols>
  <sheetData>
    <row r="1" spans="1:37" ht="18.75" customHeight="1" x14ac:dyDescent="0.3">
      <c r="A1" s="91"/>
      <c r="B1" s="91"/>
      <c r="C1" s="92"/>
      <c r="D1" s="40" t="s">
        <v>8</v>
      </c>
      <c r="E1" s="41" t="s">
        <v>7</v>
      </c>
      <c r="F1" s="42" t="s">
        <v>6</v>
      </c>
      <c r="G1" s="41" t="s">
        <v>5</v>
      </c>
      <c r="H1" s="41" t="s">
        <v>4</v>
      </c>
      <c r="I1" s="41" t="s">
        <v>3</v>
      </c>
      <c r="J1" s="43" t="s">
        <v>29</v>
      </c>
      <c r="K1" s="42" t="s">
        <v>8</v>
      </c>
      <c r="L1" s="41" t="s">
        <v>7</v>
      </c>
      <c r="M1" s="42" t="s">
        <v>6</v>
      </c>
      <c r="N1" s="41" t="s">
        <v>5</v>
      </c>
      <c r="O1" s="41" t="s">
        <v>4</v>
      </c>
      <c r="P1" s="43" t="s">
        <v>29</v>
      </c>
      <c r="Q1" s="42" t="s">
        <v>9</v>
      </c>
      <c r="R1" s="40" t="s">
        <v>8</v>
      </c>
      <c r="S1" s="41" t="s">
        <v>7</v>
      </c>
      <c r="T1" s="42" t="s">
        <v>6</v>
      </c>
      <c r="U1" s="41" t="s">
        <v>5</v>
      </c>
      <c r="V1" s="41" t="s">
        <v>4</v>
      </c>
      <c r="W1" s="43" t="s">
        <v>29</v>
      </c>
      <c r="X1" s="43" t="s">
        <v>9</v>
      </c>
      <c r="Y1" s="40" t="s">
        <v>8</v>
      </c>
      <c r="Z1" s="41" t="s">
        <v>7</v>
      </c>
      <c r="AA1" s="42" t="s">
        <v>6</v>
      </c>
      <c r="AB1" s="41" t="s">
        <v>5</v>
      </c>
      <c r="AC1" s="41" t="s">
        <v>4</v>
      </c>
      <c r="AD1" s="43" t="s">
        <v>29</v>
      </c>
      <c r="AE1" s="44" t="s">
        <v>9</v>
      </c>
      <c r="AF1" s="45" t="s">
        <v>8</v>
      </c>
      <c r="AG1" s="44" t="s">
        <v>7</v>
      </c>
      <c r="AH1" s="45" t="s">
        <v>6</v>
      </c>
      <c r="AI1" s="105" t="s">
        <v>31</v>
      </c>
      <c r="AJ1" s="95" t="s">
        <v>30</v>
      </c>
      <c r="AK1" s="97" t="s">
        <v>10</v>
      </c>
    </row>
    <row r="2" spans="1:37" x14ac:dyDescent="0.3">
      <c r="A2" s="93"/>
      <c r="B2" s="93"/>
      <c r="C2" s="94"/>
      <c r="D2" s="13">
        <v>1</v>
      </c>
      <c r="E2" s="14">
        <v>2</v>
      </c>
      <c r="F2" s="14">
        <v>3</v>
      </c>
      <c r="G2" s="14">
        <v>4</v>
      </c>
      <c r="H2" s="14">
        <v>5</v>
      </c>
      <c r="I2" s="14">
        <v>6</v>
      </c>
      <c r="J2" s="15">
        <v>7</v>
      </c>
      <c r="K2" s="14">
        <v>8</v>
      </c>
      <c r="L2" s="14">
        <v>9</v>
      </c>
      <c r="M2" s="14">
        <v>10</v>
      </c>
      <c r="N2" s="14">
        <v>11</v>
      </c>
      <c r="O2" s="14">
        <v>12</v>
      </c>
      <c r="P2" s="14">
        <v>13</v>
      </c>
      <c r="Q2" s="14">
        <v>14</v>
      </c>
      <c r="R2" s="14">
        <v>15</v>
      </c>
      <c r="S2" s="14">
        <v>16</v>
      </c>
      <c r="T2" s="14">
        <v>17</v>
      </c>
      <c r="U2" s="14">
        <v>18</v>
      </c>
      <c r="V2" s="14">
        <v>19</v>
      </c>
      <c r="W2" s="14">
        <v>20</v>
      </c>
      <c r="X2" s="14">
        <v>21</v>
      </c>
      <c r="Y2" s="14">
        <v>22</v>
      </c>
      <c r="Z2" s="14">
        <v>23</v>
      </c>
      <c r="AA2" s="14">
        <v>24</v>
      </c>
      <c r="AB2" s="14">
        <v>25</v>
      </c>
      <c r="AC2" s="13">
        <v>26</v>
      </c>
      <c r="AD2" s="14">
        <v>27</v>
      </c>
      <c r="AE2" s="15">
        <v>28</v>
      </c>
      <c r="AF2" s="14">
        <v>29</v>
      </c>
      <c r="AG2" s="15">
        <v>30</v>
      </c>
      <c r="AH2" s="14">
        <v>31</v>
      </c>
      <c r="AI2" s="106"/>
      <c r="AJ2" s="96"/>
      <c r="AK2" s="98"/>
    </row>
    <row r="3" spans="1:37" x14ac:dyDescent="0.3">
      <c r="A3" s="99" t="s">
        <v>28</v>
      </c>
      <c r="B3" s="100"/>
      <c r="C3" s="83" t="s">
        <v>0</v>
      </c>
      <c r="D3" s="17"/>
      <c r="E3" s="18"/>
      <c r="F3" s="18"/>
      <c r="G3" s="18"/>
      <c r="H3" s="18"/>
      <c r="I3" s="18"/>
      <c r="J3" s="19"/>
      <c r="K3" s="18"/>
      <c r="L3" s="18">
        <v>1748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>
        <v>810</v>
      </c>
      <c r="Y3" s="18"/>
      <c r="Z3" s="18"/>
      <c r="AA3" s="18"/>
      <c r="AB3" s="18"/>
      <c r="AC3" s="17"/>
      <c r="AD3" s="18"/>
      <c r="AE3" s="20"/>
      <c r="AF3" s="18"/>
      <c r="AG3" s="20"/>
      <c r="AH3" s="18"/>
      <c r="AI3" s="107">
        <f>AJ3/31</f>
        <v>115.35483870967742</v>
      </c>
      <c r="AJ3" s="103">
        <f>SUM(D3:AH4)</f>
        <v>3576</v>
      </c>
      <c r="AK3" s="103">
        <v>100</v>
      </c>
    </row>
    <row r="4" spans="1:37" x14ac:dyDescent="0.3">
      <c r="A4" s="101"/>
      <c r="B4" s="102"/>
      <c r="C4" s="84" t="s">
        <v>12</v>
      </c>
      <c r="D4" s="21"/>
      <c r="E4" s="21"/>
      <c r="F4" s="21"/>
      <c r="G4" s="21"/>
      <c r="H4" s="21"/>
      <c r="I4" s="21"/>
      <c r="J4" s="22"/>
      <c r="K4" s="21"/>
      <c r="L4" s="21">
        <v>300</v>
      </c>
      <c r="M4" s="21"/>
      <c r="N4" s="21"/>
      <c r="O4" s="21"/>
      <c r="P4" s="21"/>
      <c r="Q4" s="21"/>
      <c r="R4" s="21">
        <v>70</v>
      </c>
      <c r="S4" s="21"/>
      <c r="T4" s="21"/>
      <c r="U4" s="21"/>
      <c r="V4" s="21"/>
      <c r="W4" s="21">
        <v>600</v>
      </c>
      <c r="X4" s="21"/>
      <c r="Y4" s="21"/>
      <c r="Z4" s="21"/>
      <c r="AA4" s="21">
        <v>40</v>
      </c>
      <c r="AB4" s="21"/>
      <c r="AC4" s="23"/>
      <c r="AD4" s="21"/>
      <c r="AE4" s="22"/>
      <c r="AF4" s="21">
        <v>8</v>
      </c>
      <c r="AG4" s="22"/>
      <c r="AH4" s="21"/>
      <c r="AI4" s="108"/>
      <c r="AJ4" s="104"/>
      <c r="AK4" s="104"/>
    </row>
    <row r="5" spans="1:37" ht="18.75" customHeight="1" x14ac:dyDescent="0.3">
      <c r="A5" s="113" t="s">
        <v>27</v>
      </c>
      <c r="B5" s="115" t="s">
        <v>21</v>
      </c>
      <c r="C5" s="85" t="s">
        <v>13</v>
      </c>
      <c r="D5" s="24"/>
      <c r="E5" s="2">
        <v>18</v>
      </c>
      <c r="F5" s="2"/>
      <c r="G5" s="2"/>
      <c r="H5" s="2"/>
      <c r="I5" s="2"/>
      <c r="J5" s="25"/>
      <c r="K5" s="2"/>
      <c r="L5" s="2"/>
      <c r="M5" s="2">
        <v>2</v>
      </c>
      <c r="N5" s="2"/>
      <c r="O5" s="2"/>
      <c r="P5" s="2"/>
      <c r="Q5" s="2">
        <v>14</v>
      </c>
      <c r="R5" s="2">
        <v>6</v>
      </c>
      <c r="S5" s="2">
        <v>4</v>
      </c>
      <c r="T5" s="2"/>
      <c r="U5" s="2"/>
      <c r="V5" s="2"/>
      <c r="W5" s="2"/>
      <c r="X5" s="2"/>
      <c r="Y5" s="2">
        <v>25</v>
      </c>
      <c r="Z5" s="2"/>
      <c r="AA5" s="2">
        <v>9</v>
      </c>
      <c r="AB5" s="2"/>
      <c r="AC5" s="24">
        <v>6</v>
      </c>
      <c r="AD5" s="2"/>
      <c r="AE5" s="26"/>
      <c r="AF5" s="2">
        <v>37</v>
      </c>
      <c r="AG5" s="26">
        <v>15</v>
      </c>
      <c r="AH5" s="2"/>
      <c r="AI5" s="53">
        <f t="shared" ref="AI5:AI12" si="0">AJ5/31</f>
        <v>4.387096774193548</v>
      </c>
      <c r="AJ5" s="35">
        <f t="shared" ref="AJ5" si="1">SUM(D5,E5,F5,G5,H5,I5,J5,K5,L5,M5,N5,O5,P5,Q5,R5,S5,T5,U5,V5,W5,X5,Y5,Z5,AA5,AB5,AC5,AD5,AE5,AF5,AG5,AH5)</f>
        <v>136</v>
      </c>
      <c r="AK5" s="3">
        <f>(AJ5/AJ3)*100</f>
        <v>3.8031319910514538</v>
      </c>
    </row>
    <row r="6" spans="1:37" x14ac:dyDescent="0.3">
      <c r="A6" s="113"/>
      <c r="B6" s="115"/>
      <c r="C6" s="86" t="s">
        <v>1</v>
      </c>
      <c r="D6" s="4"/>
      <c r="E6" s="4"/>
      <c r="F6" s="4"/>
      <c r="G6" s="4"/>
      <c r="H6" s="4"/>
      <c r="I6" s="4"/>
      <c r="J6" s="27"/>
      <c r="K6" s="4"/>
      <c r="L6" s="4"/>
      <c r="M6" s="4"/>
      <c r="N6" s="4">
        <v>144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>
        <v>90</v>
      </c>
      <c r="AB6" s="4">
        <v>500</v>
      </c>
      <c r="AC6" s="28"/>
      <c r="AD6" s="4"/>
      <c r="AE6" s="27"/>
      <c r="AF6" s="4"/>
      <c r="AG6" s="27"/>
      <c r="AH6" s="4"/>
      <c r="AI6" s="54">
        <f t="shared" si="0"/>
        <v>23.677419354838708</v>
      </c>
      <c r="AJ6" s="36">
        <f>SUM(D6,E6,F6,G6,H6,I6,J6,K6,L6,M6,N6,O6,P6,Q6,R6,S6,T6,U6,V6,W6,X6,Y6,Z6,AA6,AB6,AC6,AD6,AE6,AF6,AG6,AH6)</f>
        <v>734</v>
      </c>
      <c r="AK6" s="5">
        <f>(AJ6/AJ3)*100</f>
        <v>20.52572706935123</v>
      </c>
    </row>
    <row r="7" spans="1:37" x14ac:dyDescent="0.3">
      <c r="A7" s="113"/>
      <c r="B7" s="115"/>
      <c r="C7" s="86" t="s">
        <v>14</v>
      </c>
      <c r="D7" s="24">
        <v>7</v>
      </c>
      <c r="E7" s="2"/>
      <c r="F7" s="2">
        <v>24</v>
      </c>
      <c r="G7" s="2"/>
      <c r="H7" s="2"/>
      <c r="I7" s="2"/>
      <c r="J7" s="25"/>
      <c r="K7" s="2"/>
      <c r="L7" s="2">
        <v>19</v>
      </c>
      <c r="M7" s="2"/>
      <c r="N7" s="2"/>
      <c r="O7" s="2">
        <v>3</v>
      </c>
      <c r="P7" s="2"/>
      <c r="Q7" s="2"/>
      <c r="R7" s="2"/>
      <c r="S7" s="2">
        <v>11</v>
      </c>
      <c r="T7" s="2">
        <v>12</v>
      </c>
      <c r="U7" s="2">
        <v>8</v>
      </c>
      <c r="V7" s="2">
        <v>24</v>
      </c>
      <c r="W7" s="2">
        <v>24</v>
      </c>
      <c r="X7" s="2">
        <v>5</v>
      </c>
      <c r="Y7" s="2"/>
      <c r="Z7" s="2"/>
      <c r="AA7" s="2"/>
      <c r="AB7" s="2"/>
      <c r="AC7" s="24"/>
      <c r="AD7" s="2">
        <v>12</v>
      </c>
      <c r="AE7" s="26">
        <v>5</v>
      </c>
      <c r="AF7" s="2"/>
      <c r="AG7" s="26"/>
      <c r="AH7" s="2">
        <v>16</v>
      </c>
      <c r="AI7" s="53">
        <f t="shared" si="0"/>
        <v>5.4838709677419351</v>
      </c>
      <c r="AJ7" s="35">
        <f>SUM(D7,E7,F7,G7,H7,I7,J7,K7,L7,M7,N7,O7,P7,Q7,R7,S7,T7,U7,V7,W7,X7,Y7,Z7,AA7,AB7,AC7,AD7,AE7,AF7,AG7,AH7)</f>
        <v>170</v>
      </c>
      <c r="AK7" s="3">
        <f>(AJ7/AJ3)*100</f>
        <v>4.7539149888143184</v>
      </c>
    </row>
    <row r="8" spans="1:37" x14ac:dyDescent="0.3">
      <c r="A8" s="113"/>
      <c r="B8" s="115"/>
      <c r="C8" s="86" t="s">
        <v>17</v>
      </c>
      <c r="D8" s="4"/>
      <c r="E8" s="4"/>
      <c r="F8" s="4"/>
      <c r="G8" s="4">
        <v>10</v>
      </c>
      <c r="H8" s="4"/>
      <c r="I8" s="4"/>
      <c r="J8" s="27">
        <v>40</v>
      </c>
      <c r="K8" s="4"/>
      <c r="L8" s="4"/>
      <c r="M8" s="4"/>
      <c r="N8" s="4"/>
      <c r="O8" s="4">
        <v>400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28"/>
      <c r="AD8" s="4"/>
      <c r="AE8" s="27"/>
      <c r="AF8" s="4"/>
      <c r="AG8" s="27"/>
      <c r="AH8" s="4"/>
      <c r="AI8" s="54">
        <f t="shared" si="0"/>
        <v>14.516129032258064</v>
      </c>
      <c r="AJ8" s="36">
        <v>450</v>
      </c>
      <c r="AK8" s="5">
        <f>(AJ8/AJ3)*100</f>
        <v>12.583892617449665</v>
      </c>
    </row>
    <row r="9" spans="1:37" x14ac:dyDescent="0.3">
      <c r="A9" s="113"/>
      <c r="B9" s="115"/>
      <c r="C9" s="86" t="s">
        <v>18</v>
      </c>
      <c r="D9" s="24"/>
      <c r="E9" s="2">
        <v>115</v>
      </c>
      <c r="F9" s="2">
        <v>90</v>
      </c>
      <c r="G9" s="2">
        <v>34</v>
      </c>
      <c r="H9" s="2"/>
      <c r="I9" s="2"/>
      <c r="J9" s="25"/>
      <c r="K9" s="2"/>
      <c r="L9" s="2"/>
      <c r="M9" s="2"/>
      <c r="N9" s="2">
        <v>259</v>
      </c>
      <c r="O9" s="2">
        <v>120</v>
      </c>
      <c r="P9" s="2"/>
      <c r="Q9" s="2"/>
      <c r="R9" s="2"/>
      <c r="S9" s="2">
        <v>250</v>
      </c>
      <c r="T9" s="2"/>
      <c r="U9" s="2"/>
      <c r="V9" s="2"/>
      <c r="W9" s="2"/>
      <c r="X9" s="2"/>
      <c r="Y9" s="2"/>
      <c r="Z9" s="2">
        <v>31</v>
      </c>
      <c r="AA9" s="2"/>
      <c r="AB9" s="2">
        <v>45</v>
      </c>
      <c r="AC9" s="24"/>
      <c r="AD9" s="2"/>
      <c r="AE9" s="26"/>
      <c r="AF9" s="2"/>
      <c r="AG9" s="26">
        <v>3</v>
      </c>
      <c r="AH9" s="2"/>
      <c r="AI9" s="53">
        <f t="shared" si="0"/>
        <v>30.548387096774192</v>
      </c>
      <c r="AJ9" s="35">
        <v>947</v>
      </c>
      <c r="AK9" s="3">
        <f>(AJ9/AJ3)*100</f>
        <v>26.482102908277405</v>
      </c>
    </row>
    <row r="10" spans="1:37" ht="18.75" customHeight="1" x14ac:dyDescent="0.3">
      <c r="A10" s="113"/>
      <c r="B10" s="137" t="s">
        <v>22</v>
      </c>
      <c r="C10" s="88" t="s">
        <v>2</v>
      </c>
      <c r="D10" s="6"/>
      <c r="E10" s="6"/>
      <c r="F10" s="6"/>
      <c r="G10" s="6"/>
      <c r="H10" s="6"/>
      <c r="I10" s="6"/>
      <c r="J10" s="29"/>
      <c r="K10" s="6"/>
      <c r="L10" s="6">
        <v>14</v>
      </c>
      <c r="M10" s="6"/>
      <c r="N10" s="6"/>
      <c r="O10" s="6"/>
      <c r="P10" s="6"/>
      <c r="Q10" s="6"/>
      <c r="R10" s="6"/>
      <c r="S10" s="6"/>
      <c r="T10" s="6">
        <v>70</v>
      </c>
      <c r="U10" s="6"/>
      <c r="V10" s="6">
        <v>10</v>
      </c>
      <c r="W10" s="6"/>
      <c r="X10" s="6"/>
      <c r="Y10" s="6"/>
      <c r="Z10" s="6"/>
      <c r="AA10" s="6"/>
      <c r="AB10" s="6"/>
      <c r="AC10" s="30"/>
      <c r="AD10" s="6"/>
      <c r="AE10" s="29"/>
      <c r="AF10" s="6"/>
      <c r="AG10" s="29"/>
      <c r="AH10" s="6"/>
      <c r="AI10" s="55">
        <f t="shared" si="0"/>
        <v>3.032258064516129</v>
      </c>
      <c r="AJ10" s="37">
        <v>94</v>
      </c>
      <c r="AK10" s="7">
        <f>(AJ10/AJ3)*100</f>
        <v>2.6286353467561523</v>
      </c>
    </row>
    <row r="11" spans="1:37" ht="16.5" customHeight="1" x14ac:dyDescent="0.3">
      <c r="A11" s="113"/>
      <c r="B11" s="138"/>
      <c r="C11" s="88" t="s">
        <v>32</v>
      </c>
      <c r="D11" s="31"/>
      <c r="E11" s="8"/>
      <c r="F11" s="8"/>
      <c r="G11" s="8"/>
      <c r="H11" s="8"/>
      <c r="I11" s="8"/>
      <c r="J11" s="32"/>
      <c r="K11" s="8"/>
      <c r="L11" s="8"/>
      <c r="M11" s="8"/>
      <c r="N11" s="8"/>
      <c r="O11" s="8">
        <v>10</v>
      </c>
      <c r="P11" s="8"/>
      <c r="Q11" s="8"/>
      <c r="R11" s="8"/>
      <c r="S11" s="8"/>
      <c r="T11" s="8"/>
      <c r="U11" s="8"/>
      <c r="V11" s="8">
        <v>10</v>
      </c>
      <c r="W11" s="8"/>
      <c r="X11" s="8"/>
      <c r="Y11" s="8"/>
      <c r="Z11" s="8"/>
      <c r="AA11" s="8"/>
      <c r="AB11" s="8"/>
      <c r="AC11" s="31"/>
      <c r="AD11" s="8"/>
      <c r="AE11" s="33"/>
      <c r="AF11" s="8"/>
      <c r="AG11" s="33"/>
      <c r="AH11" s="8"/>
      <c r="AI11" s="56">
        <f t="shared" si="0"/>
        <v>0.64516129032258063</v>
      </c>
      <c r="AJ11" s="38">
        <v>20</v>
      </c>
      <c r="AK11" s="9">
        <f>(AJ11/AJ3)*100</f>
        <v>0.5592841163310962</v>
      </c>
    </row>
    <row r="12" spans="1:37" ht="20.25" customHeight="1" x14ac:dyDescent="0.3">
      <c r="A12" s="113"/>
      <c r="B12" s="138"/>
      <c r="C12" s="82" t="s">
        <v>19</v>
      </c>
      <c r="D12" s="6"/>
      <c r="E12" s="6"/>
      <c r="F12" s="6"/>
      <c r="G12" s="6"/>
      <c r="H12" s="6"/>
      <c r="I12" s="6"/>
      <c r="J12" s="29"/>
      <c r="K12" s="6"/>
      <c r="L12" s="6"/>
      <c r="M12" s="6"/>
      <c r="N12" s="6"/>
      <c r="O12" s="6"/>
      <c r="P12" s="6">
        <v>130</v>
      </c>
      <c r="Q12" s="6"/>
      <c r="R12" s="6"/>
      <c r="S12" s="6"/>
      <c r="T12" s="6">
        <v>30</v>
      </c>
      <c r="U12" s="6">
        <v>40</v>
      </c>
      <c r="V12" s="6"/>
      <c r="W12" s="6"/>
      <c r="X12" s="6"/>
      <c r="Y12" s="6"/>
      <c r="Z12" s="6"/>
      <c r="AA12" s="6"/>
      <c r="AB12" s="6"/>
      <c r="AC12" s="30"/>
      <c r="AD12" s="6"/>
      <c r="AE12" s="29"/>
      <c r="AF12" s="6"/>
      <c r="AG12" s="29"/>
      <c r="AH12" s="6"/>
      <c r="AI12" s="55">
        <f t="shared" si="0"/>
        <v>6.4516129032258061</v>
      </c>
      <c r="AJ12" s="37">
        <v>200</v>
      </c>
      <c r="AK12" s="7">
        <f>(AJ12/AJ3)*100</f>
        <v>5.592841163310962</v>
      </c>
    </row>
    <row r="13" spans="1:37" x14ac:dyDescent="0.3">
      <c r="A13" s="113"/>
      <c r="B13" s="139"/>
      <c r="C13" s="88" t="s">
        <v>20</v>
      </c>
      <c r="D13" s="6"/>
      <c r="E13" s="6"/>
      <c r="F13" s="6"/>
      <c r="G13" s="6">
        <v>24</v>
      </c>
      <c r="H13" s="6">
        <v>100</v>
      </c>
      <c r="I13" s="6"/>
      <c r="J13" s="29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30"/>
      <c r="AD13" s="6">
        <v>9</v>
      </c>
      <c r="AE13" s="29"/>
      <c r="AF13" s="6"/>
      <c r="AG13" s="29"/>
      <c r="AH13" s="6">
        <v>16</v>
      </c>
      <c r="AI13" s="55">
        <f>AJ13/31</f>
        <v>4.806451612903226</v>
      </c>
      <c r="AJ13" s="37">
        <v>149</v>
      </c>
      <c r="AK13" s="7">
        <f>(AJ13/AJ3)*100</f>
        <v>4.1666666666666661</v>
      </c>
    </row>
    <row r="14" spans="1:37" x14ac:dyDescent="0.3">
      <c r="A14" s="114"/>
      <c r="B14" s="119" t="s">
        <v>23</v>
      </c>
      <c r="C14" s="120"/>
      <c r="D14" s="119">
        <f>SUM(D5:I13)</f>
        <v>422</v>
      </c>
      <c r="E14" s="120"/>
      <c r="F14" s="120"/>
      <c r="G14" s="120"/>
      <c r="H14" s="120"/>
      <c r="I14" s="124"/>
      <c r="J14" s="119">
        <f>SUM(J5:P13)</f>
        <v>1141</v>
      </c>
      <c r="K14" s="120"/>
      <c r="L14" s="120"/>
      <c r="M14" s="120"/>
      <c r="N14" s="120"/>
      <c r="O14" s="120"/>
      <c r="P14" s="124"/>
      <c r="Q14" s="119">
        <f>SUM(Q5:W13)</f>
        <v>513</v>
      </c>
      <c r="R14" s="120"/>
      <c r="S14" s="120"/>
      <c r="T14" s="120"/>
      <c r="U14" s="120"/>
      <c r="V14" s="120"/>
      <c r="W14" s="124"/>
      <c r="X14" s="119">
        <f>SUM(X5:AD13)</f>
        <v>732</v>
      </c>
      <c r="Y14" s="120"/>
      <c r="Z14" s="120"/>
      <c r="AA14" s="120"/>
      <c r="AB14" s="120"/>
      <c r="AC14" s="120"/>
      <c r="AD14" s="124"/>
      <c r="AE14" s="119">
        <f>SUM(AE5:AH13)</f>
        <v>92</v>
      </c>
      <c r="AF14" s="120"/>
      <c r="AG14" s="120"/>
      <c r="AH14" s="124"/>
      <c r="AI14" s="65">
        <f>AJ14/31</f>
        <v>93.548387096774192</v>
      </c>
      <c r="AJ14" s="64">
        <f>SUM(AJ5,AJ6,AJ7,AJ8,AJ9,AJ10,AJ11,AJ12,AJ13)</f>
        <v>2900</v>
      </c>
      <c r="AK14" s="10">
        <f>SUM(AK5,AK6,AK7,AK8,AK9,AK10,AK11,AK12,AK13)</f>
        <v>81.096196868008974</v>
      </c>
    </row>
    <row r="15" spans="1:37" x14ac:dyDescent="0.3">
      <c r="A15" s="121" t="s">
        <v>11</v>
      </c>
      <c r="B15" s="121"/>
      <c r="C15" s="122"/>
      <c r="D15" s="123">
        <v>822</v>
      </c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2"/>
      <c r="AK15" s="16"/>
    </row>
    <row r="16" spans="1:37" x14ac:dyDescent="0.3">
      <c r="A16" s="109" t="s">
        <v>24</v>
      </c>
      <c r="B16" s="109"/>
      <c r="C16" s="110"/>
      <c r="D16" s="111">
        <f>(AJ3+D15)-AJ14</f>
        <v>1498</v>
      </c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2"/>
      <c r="AK16" s="34">
        <f>((AJ3-AJ14)/AJ3)*100</f>
        <v>18.903803131991051</v>
      </c>
    </row>
  </sheetData>
  <mergeCells count="21">
    <mergeCell ref="A16:C16"/>
    <mergeCell ref="D16:AJ16"/>
    <mergeCell ref="A5:A14"/>
    <mergeCell ref="B5:B9"/>
    <mergeCell ref="B10:B13"/>
    <mergeCell ref="B14:C14"/>
    <mergeCell ref="A15:C15"/>
    <mergeCell ref="D15:AJ15"/>
    <mergeCell ref="D14:I14"/>
    <mergeCell ref="J14:P14"/>
    <mergeCell ref="Q14:W14"/>
    <mergeCell ref="X14:AD14"/>
    <mergeCell ref="AE14:AH14"/>
    <mergeCell ref="A1:C2"/>
    <mergeCell ref="AJ1:AJ2"/>
    <mergeCell ref="AK1:AK2"/>
    <mergeCell ref="A3:B4"/>
    <mergeCell ref="AJ3:AJ4"/>
    <mergeCell ref="AK3:AK4"/>
    <mergeCell ref="AI1:AI2"/>
    <mergeCell ref="AI3:AI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30"/>
  <sheetViews>
    <sheetView zoomScale="80" zoomScaleNormal="80" workbookViewId="0">
      <selection activeCell="C20" sqref="C20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2.14062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75" customHeight="1" x14ac:dyDescent="0.3">
      <c r="A1" s="91"/>
      <c r="B1" s="91"/>
      <c r="C1" s="92"/>
      <c r="D1" s="40" t="s">
        <v>5</v>
      </c>
      <c r="E1" s="41" t="s">
        <v>4</v>
      </c>
      <c r="F1" s="42" t="s">
        <v>29</v>
      </c>
      <c r="G1" s="41" t="s">
        <v>9</v>
      </c>
      <c r="H1" s="41" t="s">
        <v>8</v>
      </c>
      <c r="I1" s="41" t="s">
        <v>7</v>
      </c>
      <c r="J1" s="42" t="s">
        <v>6</v>
      </c>
      <c r="K1" s="40" t="s">
        <v>5</v>
      </c>
      <c r="L1" s="41" t="s">
        <v>4</v>
      </c>
      <c r="M1" s="42" t="s">
        <v>29</v>
      </c>
      <c r="N1" s="41" t="s">
        <v>9</v>
      </c>
      <c r="O1" s="41" t="s">
        <v>8</v>
      </c>
      <c r="P1" s="41" t="s">
        <v>7</v>
      </c>
      <c r="Q1" s="42" t="s">
        <v>6</v>
      </c>
      <c r="R1" s="40" t="s">
        <v>5</v>
      </c>
      <c r="S1" s="41" t="s">
        <v>4</v>
      </c>
      <c r="T1" s="42" t="s">
        <v>29</v>
      </c>
      <c r="U1" s="41" t="s">
        <v>9</v>
      </c>
      <c r="V1" s="41" t="s">
        <v>8</v>
      </c>
      <c r="W1" s="41" t="s">
        <v>7</v>
      </c>
      <c r="X1" s="42" t="s">
        <v>6</v>
      </c>
      <c r="Y1" s="40" t="s">
        <v>5</v>
      </c>
      <c r="Z1" s="41" t="s">
        <v>4</v>
      </c>
      <c r="AA1" s="42" t="s">
        <v>29</v>
      </c>
      <c r="AB1" s="41" t="s">
        <v>9</v>
      </c>
      <c r="AC1" s="41" t="s">
        <v>8</v>
      </c>
      <c r="AD1" s="41" t="s">
        <v>7</v>
      </c>
      <c r="AE1" s="43" t="s">
        <v>6</v>
      </c>
      <c r="AF1" s="11"/>
      <c r="AG1" s="12"/>
      <c r="AH1" s="11"/>
      <c r="AI1" s="105" t="s">
        <v>31</v>
      </c>
      <c r="AJ1" s="95" t="s">
        <v>30</v>
      </c>
      <c r="AK1" s="97" t="s">
        <v>10</v>
      </c>
    </row>
    <row r="2" spans="1:37" x14ac:dyDescent="0.3">
      <c r="A2" s="93"/>
      <c r="B2" s="93"/>
      <c r="C2" s="94"/>
      <c r="D2" s="13">
        <v>1</v>
      </c>
      <c r="E2" s="14">
        <v>2</v>
      </c>
      <c r="F2" s="14">
        <v>3</v>
      </c>
      <c r="G2" s="14">
        <v>4</v>
      </c>
      <c r="H2" s="14">
        <v>5</v>
      </c>
      <c r="I2" s="14">
        <v>6</v>
      </c>
      <c r="J2" s="15">
        <v>7</v>
      </c>
      <c r="K2" s="14">
        <v>8</v>
      </c>
      <c r="L2" s="14">
        <v>9</v>
      </c>
      <c r="M2" s="14">
        <v>10</v>
      </c>
      <c r="N2" s="14">
        <v>11</v>
      </c>
      <c r="O2" s="14">
        <v>12</v>
      </c>
      <c r="P2" s="14">
        <v>13</v>
      </c>
      <c r="Q2" s="14">
        <v>14</v>
      </c>
      <c r="R2" s="14">
        <v>15</v>
      </c>
      <c r="S2" s="14">
        <v>16</v>
      </c>
      <c r="T2" s="14">
        <v>17</v>
      </c>
      <c r="U2" s="14">
        <v>18</v>
      </c>
      <c r="V2" s="14">
        <v>19</v>
      </c>
      <c r="W2" s="14">
        <v>20</v>
      </c>
      <c r="X2" s="14">
        <v>21</v>
      </c>
      <c r="Y2" s="14">
        <v>22</v>
      </c>
      <c r="Z2" s="14">
        <v>23</v>
      </c>
      <c r="AA2" s="14">
        <v>24</v>
      </c>
      <c r="AB2" s="14">
        <v>25</v>
      </c>
      <c r="AC2" s="13">
        <v>26</v>
      </c>
      <c r="AD2" s="14">
        <v>27</v>
      </c>
      <c r="AE2" s="15">
        <v>28</v>
      </c>
      <c r="AF2" s="14">
        <v>29</v>
      </c>
      <c r="AG2" s="15">
        <v>30</v>
      </c>
      <c r="AH2" s="14">
        <v>31</v>
      </c>
      <c r="AI2" s="106"/>
      <c r="AJ2" s="96"/>
      <c r="AK2" s="98"/>
    </row>
    <row r="3" spans="1:37" x14ac:dyDescent="0.3">
      <c r="A3" s="99" t="s">
        <v>28</v>
      </c>
      <c r="B3" s="100"/>
      <c r="C3" s="83" t="s">
        <v>0</v>
      </c>
      <c r="D3" s="17"/>
      <c r="E3" s="18"/>
      <c r="F3" s="18"/>
      <c r="G3" s="18"/>
      <c r="H3" s="18"/>
      <c r="I3" s="18"/>
      <c r="J3" s="19">
        <v>393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>
        <v>830</v>
      </c>
      <c r="AA3" s="18"/>
      <c r="AB3" s="18"/>
      <c r="AC3" s="17"/>
      <c r="AD3" s="18"/>
      <c r="AE3" s="20"/>
      <c r="AF3" s="18"/>
      <c r="AG3" s="20"/>
      <c r="AH3" s="18"/>
      <c r="AI3" s="107">
        <f>AJ3/28</f>
        <v>61.892857142857146</v>
      </c>
      <c r="AJ3" s="103">
        <f>SUM(D3:AH4)</f>
        <v>1733</v>
      </c>
      <c r="AK3" s="103">
        <v>100</v>
      </c>
    </row>
    <row r="4" spans="1:37" x14ac:dyDescent="0.3">
      <c r="A4" s="101"/>
      <c r="B4" s="102"/>
      <c r="C4" s="84" t="s">
        <v>12</v>
      </c>
      <c r="D4" s="21"/>
      <c r="E4" s="21"/>
      <c r="F4" s="21"/>
      <c r="G4" s="21"/>
      <c r="H4" s="21"/>
      <c r="I4" s="21"/>
      <c r="J4" s="22"/>
      <c r="K4" s="21">
        <v>450</v>
      </c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>
        <v>60</v>
      </c>
      <c r="AA4" s="21"/>
      <c r="AB4" s="21"/>
      <c r="AC4" s="23"/>
      <c r="AD4" s="21"/>
      <c r="AE4" s="22"/>
      <c r="AF4" s="21"/>
      <c r="AG4" s="22"/>
      <c r="AH4" s="21"/>
      <c r="AI4" s="108"/>
      <c r="AJ4" s="104"/>
      <c r="AK4" s="104"/>
    </row>
    <row r="5" spans="1:37" ht="18.75" customHeight="1" x14ac:dyDescent="0.3">
      <c r="A5" s="113" t="s">
        <v>27</v>
      </c>
      <c r="B5" s="115" t="s">
        <v>21</v>
      </c>
      <c r="C5" s="85" t="s">
        <v>13</v>
      </c>
      <c r="D5" s="24">
        <v>10</v>
      </c>
      <c r="E5" s="2"/>
      <c r="F5" s="2"/>
      <c r="G5" s="2"/>
      <c r="H5" s="2"/>
      <c r="I5" s="2">
        <v>6</v>
      </c>
      <c r="J5" s="25">
        <v>2</v>
      </c>
      <c r="K5" s="2"/>
      <c r="L5" s="2"/>
      <c r="M5" s="2">
        <v>10</v>
      </c>
      <c r="N5" s="2"/>
      <c r="O5" s="2"/>
      <c r="P5" s="2"/>
      <c r="Q5" s="2"/>
      <c r="R5" s="2">
        <v>10</v>
      </c>
      <c r="S5" s="2"/>
      <c r="T5" s="2"/>
      <c r="U5" s="2">
        <v>55</v>
      </c>
      <c r="V5" s="2">
        <v>11</v>
      </c>
      <c r="W5" s="2"/>
      <c r="X5" s="2">
        <v>19</v>
      </c>
      <c r="Y5" s="2"/>
      <c r="Z5" s="2"/>
      <c r="AA5" s="2"/>
      <c r="AB5" s="2">
        <v>10</v>
      </c>
      <c r="AC5" s="24"/>
      <c r="AD5" s="2">
        <v>4</v>
      </c>
      <c r="AE5" s="26">
        <v>16</v>
      </c>
      <c r="AF5" s="2"/>
      <c r="AG5" s="26"/>
      <c r="AH5" s="2"/>
      <c r="AI5" s="53">
        <f t="shared" ref="AI5:AI13" si="0">AJ5/28</f>
        <v>5.4642857142857144</v>
      </c>
      <c r="AJ5" s="35">
        <f t="shared" ref="AJ5" si="1">SUM(D5,E5,F5,G5,H5,I5,J5,K5,L5,M5,N5,O5,P5,Q5,R5,S5,T5,U5,V5,W5,X5,Y5,Z5,AA5,AB5,AC5,AD5,AE5,AF5,AG5,AH5)</f>
        <v>153</v>
      </c>
      <c r="AK5" s="3">
        <f>(AJ5/AJ3)*100</f>
        <v>8.8286208886324289</v>
      </c>
    </row>
    <row r="6" spans="1:37" x14ac:dyDescent="0.3">
      <c r="A6" s="113"/>
      <c r="B6" s="115"/>
      <c r="C6" s="86" t="s">
        <v>1</v>
      </c>
      <c r="D6" s="4"/>
      <c r="E6" s="4"/>
      <c r="F6" s="4"/>
      <c r="G6" s="4"/>
      <c r="H6" s="4"/>
      <c r="I6" s="4"/>
      <c r="J6" s="27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>
        <v>500</v>
      </c>
      <c r="AA6" s="4"/>
      <c r="AB6" s="4">
        <v>45</v>
      </c>
      <c r="AC6" s="28"/>
      <c r="AD6" s="4"/>
      <c r="AE6" s="27"/>
      <c r="AF6" s="4"/>
      <c r="AG6" s="27"/>
      <c r="AH6" s="4"/>
      <c r="AI6" s="54">
        <f t="shared" si="0"/>
        <v>19.464285714285715</v>
      </c>
      <c r="AJ6" s="36">
        <f>SUM(D6,E6,F6,G6,H6,I6,J6,K6,L6,M6,N6,O6,P6,Q6,R6,S6,T6,U6,V6,W6,X6,Y6,Z6,AA6,AB6,AC6,AD6,AE6,AF6,AG6,AH6)</f>
        <v>545</v>
      </c>
      <c r="AK6" s="5">
        <f>(AJ6/AJ3)*100</f>
        <v>31.448355452971725</v>
      </c>
    </row>
    <row r="7" spans="1:37" x14ac:dyDescent="0.3">
      <c r="A7" s="113"/>
      <c r="B7" s="115"/>
      <c r="C7" s="86" t="s">
        <v>14</v>
      </c>
      <c r="D7" s="24"/>
      <c r="E7" s="2">
        <v>8</v>
      </c>
      <c r="F7" s="2">
        <v>8</v>
      </c>
      <c r="G7" s="2"/>
      <c r="H7" s="2"/>
      <c r="I7" s="2"/>
      <c r="J7" s="25"/>
      <c r="K7" s="2">
        <v>24</v>
      </c>
      <c r="L7" s="2"/>
      <c r="M7" s="2">
        <v>20</v>
      </c>
      <c r="N7" s="2"/>
      <c r="O7" s="2">
        <v>5</v>
      </c>
      <c r="P7" s="2">
        <v>15</v>
      </c>
      <c r="Q7" s="2">
        <v>5</v>
      </c>
      <c r="R7" s="2">
        <v>17</v>
      </c>
      <c r="S7" s="2"/>
      <c r="T7" s="2"/>
      <c r="U7" s="2"/>
      <c r="V7" s="2"/>
      <c r="W7" s="2"/>
      <c r="X7" s="2"/>
      <c r="Y7" s="2">
        <v>24</v>
      </c>
      <c r="Z7" s="2">
        <v>19</v>
      </c>
      <c r="AA7" s="2"/>
      <c r="AB7" s="2"/>
      <c r="AC7" s="24"/>
      <c r="AD7" s="2"/>
      <c r="AE7" s="26"/>
      <c r="AF7" s="2"/>
      <c r="AG7" s="26"/>
      <c r="AH7" s="2"/>
      <c r="AI7" s="53">
        <f t="shared" si="0"/>
        <v>5.1785714285714288</v>
      </c>
      <c r="AJ7" s="35">
        <f>SUM(D7,E7,F7,G7,H7,I7,J7,K7,L7,M7,N7,O7,P7,Q7,R7,S7,T7,U7,V7,W7,X7,Y7,Z7,AA7,AB7,AC7,AD7,AE7,AF7,AG7,AH7)</f>
        <v>145</v>
      </c>
      <c r="AK7" s="3">
        <f>(AJ7/AJ3)*100</f>
        <v>8.3669936526255047</v>
      </c>
    </row>
    <row r="8" spans="1:37" x14ac:dyDescent="0.3">
      <c r="A8" s="113"/>
      <c r="B8" s="115"/>
      <c r="C8" s="86" t="s">
        <v>17</v>
      </c>
      <c r="D8" s="4"/>
      <c r="E8" s="4"/>
      <c r="F8" s="4"/>
      <c r="G8" s="4"/>
      <c r="H8" s="4"/>
      <c r="I8" s="4"/>
      <c r="J8" s="27"/>
      <c r="K8" s="4">
        <v>400</v>
      </c>
      <c r="L8" s="4"/>
      <c r="M8" s="4"/>
      <c r="N8" s="4">
        <v>300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28"/>
      <c r="AD8" s="4"/>
      <c r="AE8" s="27"/>
      <c r="AF8" s="4"/>
      <c r="AG8" s="27"/>
      <c r="AH8" s="4"/>
      <c r="AI8" s="54">
        <f t="shared" si="0"/>
        <v>25</v>
      </c>
      <c r="AJ8" s="36">
        <v>700</v>
      </c>
      <c r="AK8" s="5">
        <f>(AJ8/AJ3)*100</f>
        <v>40.392383150605887</v>
      </c>
    </row>
    <row r="9" spans="1:37" x14ac:dyDescent="0.3">
      <c r="A9" s="113"/>
      <c r="B9" s="115"/>
      <c r="C9" s="86" t="s">
        <v>18</v>
      </c>
      <c r="D9" s="24"/>
      <c r="E9" s="2"/>
      <c r="F9" s="2"/>
      <c r="G9" s="2"/>
      <c r="H9" s="2"/>
      <c r="I9" s="2"/>
      <c r="J9" s="25">
        <v>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>
        <v>61</v>
      </c>
      <c r="AC9" s="24"/>
      <c r="AD9" s="2"/>
      <c r="AE9" s="26"/>
      <c r="AF9" s="2"/>
      <c r="AG9" s="26"/>
      <c r="AH9" s="2"/>
      <c r="AI9" s="53">
        <f t="shared" si="0"/>
        <v>2.3928571428571428</v>
      </c>
      <c r="AJ9" s="35">
        <v>67</v>
      </c>
      <c r="AK9" s="3">
        <f>(AJ9/AJ3)*100</f>
        <v>3.866128101557992</v>
      </c>
    </row>
    <row r="10" spans="1:37" ht="18.75" customHeight="1" x14ac:dyDescent="0.3">
      <c r="A10" s="113"/>
      <c r="B10" s="140" t="s">
        <v>22</v>
      </c>
      <c r="C10" s="88" t="s">
        <v>2</v>
      </c>
      <c r="D10" s="6"/>
      <c r="E10" s="6"/>
      <c r="F10" s="6"/>
      <c r="G10" s="6"/>
      <c r="H10" s="6"/>
      <c r="I10" s="6"/>
      <c r="J10" s="29"/>
      <c r="K10" s="6">
        <v>26</v>
      </c>
      <c r="L10" s="6">
        <v>20</v>
      </c>
      <c r="M10" s="6"/>
      <c r="N10" s="6"/>
      <c r="O10" s="6"/>
      <c r="P10" s="6"/>
      <c r="Q10" s="6"/>
      <c r="R10" s="6">
        <v>51</v>
      </c>
      <c r="S10" s="6"/>
      <c r="T10" s="6"/>
      <c r="U10" s="6"/>
      <c r="V10" s="6"/>
      <c r="W10" s="6"/>
      <c r="X10" s="6"/>
      <c r="Y10" s="6">
        <v>65</v>
      </c>
      <c r="Z10" s="6"/>
      <c r="AA10" s="6">
        <v>47</v>
      </c>
      <c r="AB10" s="6"/>
      <c r="AC10" s="30"/>
      <c r="AD10" s="6"/>
      <c r="AE10" s="29"/>
      <c r="AF10" s="6"/>
      <c r="AG10" s="29"/>
      <c r="AH10" s="6"/>
      <c r="AI10" s="55">
        <f t="shared" si="0"/>
        <v>7.4642857142857144</v>
      </c>
      <c r="AJ10" s="37">
        <v>209</v>
      </c>
      <c r="AK10" s="7">
        <f>(AJ10/AJ3)*100</f>
        <v>12.0600115406809</v>
      </c>
    </row>
    <row r="11" spans="1:37" ht="17.25" customHeight="1" x14ac:dyDescent="0.3">
      <c r="A11" s="113"/>
      <c r="B11" s="141"/>
      <c r="C11" s="88" t="s">
        <v>32</v>
      </c>
      <c r="D11" s="31"/>
      <c r="E11" s="8"/>
      <c r="F11" s="8"/>
      <c r="G11" s="8"/>
      <c r="H11" s="8"/>
      <c r="I11" s="8"/>
      <c r="J11" s="32"/>
      <c r="K11" s="8"/>
      <c r="L11" s="8"/>
      <c r="M11" s="8"/>
      <c r="N11" s="8"/>
      <c r="O11" s="8"/>
      <c r="P11" s="8"/>
      <c r="Q11" s="8"/>
      <c r="R11" s="8">
        <v>65</v>
      </c>
      <c r="S11" s="8"/>
      <c r="T11" s="8"/>
      <c r="U11" s="8"/>
      <c r="V11" s="8"/>
      <c r="W11" s="8"/>
      <c r="X11" s="8"/>
      <c r="Y11" s="8"/>
      <c r="Z11" s="8"/>
      <c r="AA11" s="8"/>
      <c r="AB11" s="8"/>
      <c r="AC11" s="31"/>
      <c r="AD11" s="8">
        <v>70</v>
      </c>
      <c r="AE11" s="33"/>
      <c r="AF11" s="8"/>
      <c r="AG11" s="33"/>
      <c r="AH11" s="8"/>
      <c r="AI11" s="56">
        <f t="shared" si="0"/>
        <v>4.8214285714285712</v>
      </c>
      <c r="AJ11" s="38">
        <v>135</v>
      </c>
      <c r="AK11" s="9">
        <f>(AJ11/AJ3)*100</f>
        <v>7.7899596076168489</v>
      </c>
    </row>
    <row r="12" spans="1:37" ht="18.75" customHeight="1" x14ac:dyDescent="0.3">
      <c r="A12" s="113"/>
      <c r="B12" s="141"/>
      <c r="C12" s="82" t="s">
        <v>19</v>
      </c>
      <c r="D12" s="6"/>
      <c r="E12" s="6"/>
      <c r="F12" s="6"/>
      <c r="G12" s="6"/>
      <c r="H12" s="6">
        <v>465</v>
      </c>
      <c r="I12" s="6"/>
      <c r="J12" s="29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30"/>
      <c r="AD12" s="6"/>
      <c r="AE12" s="29"/>
      <c r="AF12" s="6"/>
      <c r="AG12" s="29"/>
      <c r="AH12" s="6"/>
      <c r="AI12" s="55">
        <f t="shared" si="0"/>
        <v>16.607142857142858</v>
      </c>
      <c r="AJ12" s="37">
        <v>465</v>
      </c>
      <c r="AK12" s="7">
        <f>(AJ12/AJ3)*100</f>
        <v>26.832083092902479</v>
      </c>
    </row>
    <row r="13" spans="1:37" x14ac:dyDescent="0.3">
      <c r="A13" s="113"/>
      <c r="B13" s="142"/>
      <c r="C13" s="88" t="s">
        <v>20</v>
      </c>
      <c r="D13" s="6"/>
      <c r="E13" s="6"/>
      <c r="F13" s="6"/>
      <c r="G13" s="6"/>
      <c r="H13" s="6"/>
      <c r="I13" s="6">
        <v>6</v>
      </c>
      <c r="J13" s="29"/>
      <c r="K13" s="6"/>
      <c r="L13" s="6">
        <v>35</v>
      </c>
      <c r="M13" s="6">
        <v>3</v>
      </c>
      <c r="N13" s="6"/>
      <c r="O13" s="6"/>
      <c r="P13" s="6">
        <v>14</v>
      </c>
      <c r="Q13" s="6"/>
      <c r="R13" s="6">
        <v>50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30"/>
      <c r="AD13" s="6"/>
      <c r="AE13" s="29"/>
      <c r="AF13" s="6"/>
      <c r="AG13" s="29"/>
      <c r="AH13" s="6"/>
      <c r="AI13" s="55">
        <f t="shared" si="0"/>
        <v>3.8571428571428572</v>
      </c>
      <c r="AJ13" s="37">
        <v>108</v>
      </c>
      <c r="AK13" s="7">
        <f>(AJ13/AJ3)*100</f>
        <v>6.231967686093479</v>
      </c>
    </row>
    <row r="14" spans="1:37" x14ac:dyDescent="0.3">
      <c r="A14" s="114"/>
      <c r="B14" s="119" t="s">
        <v>23</v>
      </c>
      <c r="C14" s="120"/>
      <c r="D14" s="119">
        <f>SUM(D5:F13)+92</f>
        <v>118</v>
      </c>
      <c r="E14" s="120"/>
      <c r="F14" s="124"/>
      <c r="G14" s="119">
        <f>SUM(G5:M13)</f>
        <v>1023</v>
      </c>
      <c r="H14" s="120"/>
      <c r="I14" s="120"/>
      <c r="J14" s="120"/>
      <c r="K14" s="120"/>
      <c r="L14" s="120"/>
      <c r="M14" s="124"/>
      <c r="N14" s="119">
        <f>SUM(N5:T13)</f>
        <v>532</v>
      </c>
      <c r="O14" s="120"/>
      <c r="P14" s="120"/>
      <c r="Q14" s="120"/>
      <c r="R14" s="120"/>
      <c r="S14" s="120"/>
      <c r="T14" s="124"/>
      <c r="U14" s="119">
        <f>SUM(U5:AA13)</f>
        <v>740</v>
      </c>
      <c r="V14" s="120"/>
      <c r="W14" s="120"/>
      <c r="X14" s="120"/>
      <c r="Y14" s="120"/>
      <c r="Z14" s="120"/>
      <c r="AA14" s="124"/>
      <c r="AB14" s="119">
        <f>SUM(AB5:AE13)</f>
        <v>206</v>
      </c>
      <c r="AC14" s="120"/>
      <c r="AD14" s="120"/>
      <c r="AE14" s="124"/>
      <c r="AF14" s="64"/>
      <c r="AG14" s="64"/>
      <c r="AH14" s="64"/>
      <c r="AI14" s="65">
        <f>AJ14/28</f>
        <v>90.25</v>
      </c>
      <c r="AJ14" s="64">
        <f>SUM(AJ5,AJ6,AJ7,AJ8,AJ9,AJ10,AJ11,AJ12,AJ13)</f>
        <v>2527</v>
      </c>
      <c r="AK14" s="10">
        <f>SUM(AK5,AK6,AK7,AK8,AK9,AK10,AK11,AK12,AK13)</f>
        <v>145.81650317368724</v>
      </c>
    </row>
    <row r="15" spans="1:37" x14ac:dyDescent="0.3">
      <c r="A15" s="121" t="s">
        <v>11</v>
      </c>
      <c r="B15" s="121"/>
      <c r="C15" s="122"/>
      <c r="D15" s="123">
        <v>1498</v>
      </c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2"/>
      <c r="AK15" s="39"/>
    </row>
    <row r="16" spans="1:37" x14ac:dyDescent="0.3">
      <c r="A16" s="109" t="s">
        <v>24</v>
      </c>
      <c r="B16" s="109"/>
      <c r="C16" s="110"/>
      <c r="D16" s="111">
        <f>(AJ3+D15)-AJ14</f>
        <v>704</v>
      </c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2"/>
      <c r="AK16" s="34">
        <f>((AJ3-AJ14)/AJ3)*100</f>
        <v>-45.816503173687245</v>
      </c>
    </row>
    <row r="18" spans="3:3" x14ac:dyDescent="0.3">
      <c r="C18" s="89"/>
    </row>
    <row r="19" spans="3:3" x14ac:dyDescent="0.3">
      <c r="C19" s="89"/>
    </row>
    <row r="20" spans="3:3" x14ac:dyDescent="0.3">
      <c r="C20" s="89"/>
    </row>
    <row r="21" spans="3:3" x14ac:dyDescent="0.3">
      <c r="C21" s="89"/>
    </row>
    <row r="22" spans="3:3" x14ac:dyDescent="0.3">
      <c r="C22" s="89"/>
    </row>
    <row r="23" spans="3:3" x14ac:dyDescent="0.3">
      <c r="C23" s="89"/>
    </row>
    <row r="24" spans="3:3" x14ac:dyDescent="0.3">
      <c r="C24" s="89"/>
    </row>
    <row r="25" spans="3:3" x14ac:dyDescent="0.3">
      <c r="C25" s="89"/>
    </row>
    <row r="26" spans="3:3" x14ac:dyDescent="0.3">
      <c r="C26" s="89"/>
    </row>
    <row r="27" spans="3:3" x14ac:dyDescent="0.3">
      <c r="C27" s="89"/>
    </row>
    <row r="28" spans="3:3" x14ac:dyDescent="0.3">
      <c r="C28" s="89"/>
    </row>
    <row r="29" spans="3:3" x14ac:dyDescent="0.3">
      <c r="C29" s="90"/>
    </row>
    <row r="30" spans="3:3" x14ac:dyDescent="0.3">
      <c r="C30" s="89"/>
    </row>
  </sheetData>
  <mergeCells count="21">
    <mergeCell ref="A1:C2"/>
    <mergeCell ref="AJ1:AJ2"/>
    <mergeCell ref="AK1:AK2"/>
    <mergeCell ref="A3:B4"/>
    <mergeCell ref="AJ3:AJ4"/>
    <mergeCell ref="AK3:AK4"/>
    <mergeCell ref="AI1:AI2"/>
    <mergeCell ref="AI3:AI4"/>
    <mergeCell ref="A16:C16"/>
    <mergeCell ref="D16:AJ16"/>
    <mergeCell ref="A5:A14"/>
    <mergeCell ref="B5:B9"/>
    <mergeCell ref="B10:B13"/>
    <mergeCell ref="B14:C14"/>
    <mergeCell ref="A15:C15"/>
    <mergeCell ref="D15:AJ15"/>
    <mergeCell ref="D14:F14"/>
    <mergeCell ref="G14:M14"/>
    <mergeCell ref="N14:T14"/>
    <mergeCell ref="U14:AA14"/>
    <mergeCell ref="AB14:AE1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8"/>
  <sheetViews>
    <sheetView zoomScale="80" zoomScaleNormal="80" workbookViewId="0">
      <selection activeCell="B12" sqref="B12:B15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1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75" customHeight="1" x14ac:dyDescent="0.3">
      <c r="A1" s="91"/>
      <c r="B1" s="91"/>
      <c r="C1" s="92"/>
      <c r="D1" s="81" t="s">
        <v>5</v>
      </c>
      <c r="E1" s="41" t="s">
        <v>4</v>
      </c>
      <c r="F1" s="42" t="s">
        <v>29</v>
      </c>
      <c r="G1" s="41" t="s">
        <v>9</v>
      </c>
      <c r="H1" s="41" t="s">
        <v>8</v>
      </c>
      <c r="I1" s="41" t="s">
        <v>7</v>
      </c>
      <c r="J1" s="42" t="s">
        <v>6</v>
      </c>
      <c r="K1" s="81" t="s">
        <v>5</v>
      </c>
      <c r="L1" s="41" t="s">
        <v>4</v>
      </c>
      <c r="M1" s="42" t="s">
        <v>29</v>
      </c>
      <c r="N1" s="41" t="s">
        <v>9</v>
      </c>
      <c r="O1" s="41" t="s">
        <v>8</v>
      </c>
      <c r="P1" s="41" t="s">
        <v>7</v>
      </c>
      <c r="Q1" s="42" t="s">
        <v>6</v>
      </c>
      <c r="R1" s="81" t="s">
        <v>5</v>
      </c>
      <c r="S1" s="41" t="s">
        <v>4</v>
      </c>
      <c r="T1" s="42" t="s">
        <v>29</v>
      </c>
      <c r="U1" s="41" t="s">
        <v>9</v>
      </c>
      <c r="V1" s="41" t="s">
        <v>8</v>
      </c>
      <c r="W1" s="41" t="s">
        <v>7</v>
      </c>
      <c r="X1" s="42" t="s">
        <v>6</v>
      </c>
      <c r="Y1" s="81" t="s">
        <v>5</v>
      </c>
      <c r="Z1" s="41" t="s">
        <v>4</v>
      </c>
      <c r="AA1" s="42" t="s">
        <v>29</v>
      </c>
      <c r="AB1" s="41" t="s">
        <v>9</v>
      </c>
      <c r="AC1" s="41" t="s">
        <v>8</v>
      </c>
      <c r="AD1" s="41" t="s">
        <v>7</v>
      </c>
      <c r="AE1" s="43" t="s">
        <v>6</v>
      </c>
      <c r="AF1" s="45" t="s">
        <v>5</v>
      </c>
      <c r="AG1" s="44" t="s">
        <v>4</v>
      </c>
      <c r="AH1" s="42" t="s">
        <v>29</v>
      </c>
      <c r="AI1" s="105" t="s">
        <v>31</v>
      </c>
      <c r="AJ1" s="95" t="s">
        <v>30</v>
      </c>
      <c r="AK1" s="97" t="s">
        <v>10</v>
      </c>
    </row>
    <row r="2" spans="1:37" x14ac:dyDescent="0.3">
      <c r="A2" s="93"/>
      <c r="B2" s="93"/>
      <c r="C2" s="94"/>
      <c r="D2" s="13">
        <v>1</v>
      </c>
      <c r="E2" s="14">
        <v>2</v>
      </c>
      <c r="F2" s="14">
        <v>3</v>
      </c>
      <c r="G2" s="14">
        <v>4</v>
      </c>
      <c r="H2" s="14">
        <v>5</v>
      </c>
      <c r="I2" s="14">
        <v>6</v>
      </c>
      <c r="J2" s="15">
        <v>7</v>
      </c>
      <c r="K2" s="14">
        <v>8</v>
      </c>
      <c r="L2" s="14">
        <v>9</v>
      </c>
      <c r="M2" s="14">
        <v>10</v>
      </c>
      <c r="N2" s="14">
        <v>11</v>
      </c>
      <c r="O2" s="14">
        <v>12</v>
      </c>
      <c r="P2" s="14">
        <v>13</v>
      </c>
      <c r="Q2" s="14">
        <v>14</v>
      </c>
      <c r="R2" s="14">
        <v>15</v>
      </c>
      <c r="S2" s="14">
        <v>16</v>
      </c>
      <c r="T2" s="14">
        <v>17</v>
      </c>
      <c r="U2" s="14">
        <v>18</v>
      </c>
      <c r="V2" s="14">
        <v>19</v>
      </c>
      <c r="W2" s="14">
        <v>20</v>
      </c>
      <c r="X2" s="14">
        <v>21</v>
      </c>
      <c r="Y2" s="14">
        <v>22</v>
      </c>
      <c r="Z2" s="14">
        <v>23</v>
      </c>
      <c r="AA2" s="14">
        <v>24</v>
      </c>
      <c r="AB2" s="14">
        <v>25</v>
      </c>
      <c r="AC2" s="13">
        <v>26</v>
      </c>
      <c r="AD2" s="14">
        <v>27</v>
      </c>
      <c r="AE2" s="15">
        <v>28</v>
      </c>
      <c r="AF2" s="14">
        <v>29</v>
      </c>
      <c r="AG2" s="15">
        <v>30</v>
      </c>
      <c r="AH2" s="14">
        <v>31</v>
      </c>
      <c r="AI2" s="106"/>
      <c r="AJ2" s="96"/>
      <c r="AK2" s="98"/>
    </row>
    <row r="3" spans="1:37" x14ac:dyDescent="0.3">
      <c r="A3" s="99" t="s">
        <v>28</v>
      </c>
      <c r="B3" s="100"/>
      <c r="C3" s="83" t="s">
        <v>0</v>
      </c>
      <c r="D3" s="17"/>
      <c r="E3" s="18"/>
      <c r="F3" s="18"/>
      <c r="G3" s="18"/>
      <c r="H3" s="18"/>
      <c r="I3" s="21"/>
      <c r="J3" s="19"/>
      <c r="K3" s="18">
        <v>1116</v>
      </c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>
        <v>1293</v>
      </c>
      <c r="Z3" s="18"/>
      <c r="AA3" s="18"/>
      <c r="AB3" s="18"/>
      <c r="AC3" s="17"/>
      <c r="AD3" s="18"/>
      <c r="AE3" s="20"/>
      <c r="AF3" s="18"/>
      <c r="AG3" s="20"/>
      <c r="AH3" s="18"/>
      <c r="AI3" s="107">
        <f>AJ3/31</f>
        <v>103.19354838709677</v>
      </c>
      <c r="AJ3" s="103">
        <f>SUM(D3,E3,F3,G3,H3,I3,J3,K3,L3,M3,N3,O3,P3,Q3,R3,S3,T3,U3,V3,W3,X3,Y3,Z3,AA3,AB3,AC3,AD3,AE3,AF3,AG3,AH3,D4,E4,F4,G4,H4,I4,J4,K4,L4,M4,N4,O4,P4,Q4,R4,S4,T4,U4,V4,W4,X4,Y4,Z4,AA4,AB4,AC4,AD4,AE4,AF4,AG4,AH4)</f>
        <v>3199</v>
      </c>
      <c r="AK3" s="103">
        <v>100</v>
      </c>
    </row>
    <row r="4" spans="1:37" x14ac:dyDescent="0.3">
      <c r="A4" s="101"/>
      <c r="B4" s="102"/>
      <c r="C4" s="84" t="s">
        <v>12</v>
      </c>
      <c r="D4" s="21">
        <v>10</v>
      </c>
      <c r="E4" s="21"/>
      <c r="F4" s="21">
        <v>350</v>
      </c>
      <c r="G4" s="21"/>
      <c r="H4" s="21"/>
      <c r="I4" s="21"/>
      <c r="J4" s="22"/>
      <c r="K4" s="21"/>
      <c r="L4" s="21"/>
      <c r="M4" s="21"/>
      <c r="N4" s="21"/>
      <c r="O4" s="21"/>
      <c r="P4" s="21"/>
      <c r="Q4" s="21"/>
      <c r="R4" s="21"/>
      <c r="S4" s="21"/>
      <c r="T4" s="21">
        <v>50</v>
      </c>
      <c r="U4" s="21"/>
      <c r="V4" s="21"/>
      <c r="W4" s="21"/>
      <c r="X4" s="21"/>
      <c r="Y4" s="21">
        <v>20</v>
      </c>
      <c r="Z4" s="21"/>
      <c r="AA4" s="21">
        <v>50</v>
      </c>
      <c r="AB4" s="21"/>
      <c r="AC4" s="23"/>
      <c r="AD4" s="21"/>
      <c r="AE4" s="22"/>
      <c r="AF4" s="21"/>
      <c r="AG4" s="22"/>
      <c r="AH4" s="21">
        <v>310</v>
      </c>
      <c r="AI4" s="108"/>
      <c r="AJ4" s="104"/>
      <c r="AK4" s="104"/>
    </row>
    <row r="5" spans="1:37" ht="18.75" customHeight="1" x14ac:dyDescent="0.3">
      <c r="A5" s="125" t="s">
        <v>27</v>
      </c>
      <c r="B5" s="115" t="s">
        <v>21</v>
      </c>
      <c r="C5" s="85" t="s">
        <v>13</v>
      </c>
      <c r="D5" s="24"/>
      <c r="E5" s="2"/>
      <c r="F5" s="2"/>
      <c r="G5" s="2">
        <v>17</v>
      </c>
      <c r="H5" s="2"/>
      <c r="I5" s="2">
        <v>21</v>
      </c>
      <c r="J5" s="25"/>
      <c r="K5" s="2"/>
      <c r="L5" s="2"/>
      <c r="M5" s="2"/>
      <c r="N5" s="2"/>
      <c r="O5" s="2">
        <v>25</v>
      </c>
      <c r="P5" s="2">
        <v>12</v>
      </c>
      <c r="Q5" s="2"/>
      <c r="R5" s="2"/>
      <c r="S5" s="2"/>
      <c r="T5" s="2"/>
      <c r="U5" s="2"/>
      <c r="V5" s="2"/>
      <c r="W5" s="2">
        <v>8</v>
      </c>
      <c r="X5" s="2">
        <v>15</v>
      </c>
      <c r="Y5" s="2"/>
      <c r="Z5" s="2"/>
      <c r="AA5" s="2">
        <v>29</v>
      </c>
      <c r="AB5" s="2">
        <v>9</v>
      </c>
      <c r="AC5" s="24">
        <v>9</v>
      </c>
      <c r="AD5" s="2">
        <v>15</v>
      </c>
      <c r="AE5" s="26">
        <v>21</v>
      </c>
      <c r="AF5" s="2"/>
      <c r="AG5" s="26"/>
      <c r="AH5" s="2">
        <v>4</v>
      </c>
      <c r="AI5" s="53">
        <f t="shared" ref="AI5:AI14" si="0">AJ5/31</f>
        <v>5.967741935483871</v>
      </c>
      <c r="AJ5" s="35">
        <f t="shared" ref="AJ5" si="1">SUM(D5,E5,F5,G5,H5,I5,J5,K5,L5,M5,N5,O5,P5,Q5,R5,S5,T5,U5,V5,W5,X5,Y5,Z5,AA5,AB5,AC5,AD5,AE5,AF5,AG5,AH5)</f>
        <v>185</v>
      </c>
      <c r="AK5" s="3">
        <f>(AJ5/AJ3)*100</f>
        <v>5.7830572053766804</v>
      </c>
    </row>
    <row r="6" spans="1:37" x14ac:dyDescent="0.3">
      <c r="A6" s="126"/>
      <c r="B6" s="115"/>
      <c r="C6" s="86" t="s">
        <v>1</v>
      </c>
      <c r="D6" s="4"/>
      <c r="E6" s="4"/>
      <c r="F6" s="4"/>
      <c r="G6" s="4"/>
      <c r="H6" s="4"/>
      <c r="I6" s="4">
        <v>75</v>
      </c>
      <c r="J6" s="27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>
        <v>545</v>
      </c>
      <c r="AC6" s="28"/>
      <c r="AD6" s="4"/>
      <c r="AE6" s="27"/>
      <c r="AF6" s="4"/>
      <c r="AG6" s="27"/>
      <c r="AH6" s="4"/>
      <c r="AI6" s="54">
        <f t="shared" si="0"/>
        <v>20</v>
      </c>
      <c r="AJ6" s="36">
        <f>SUM(D6,E6,F6,G6,H6,I6,J6,K6,L6,M6,N6,O6,P6,Q6,R6,S6,T6,U6,V6,W6,X6,Y6,Z6,AA6,AB6,AC6,AD6,AE6,AF6,AG6,AH6)</f>
        <v>620</v>
      </c>
      <c r="AK6" s="5">
        <f>(AJ6/AJ3)*100</f>
        <v>19.381056580181308</v>
      </c>
    </row>
    <row r="7" spans="1:37" x14ac:dyDescent="0.3">
      <c r="A7" s="126"/>
      <c r="B7" s="115"/>
      <c r="C7" s="86" t="s">
        <v>15</v>
      </c>
      <c r="D7" s="28"/>
      <c r="E7" s="4"/>
      <c r="F7" s="4"/>
      <c r="G7" s="4"/>
      <c r="H7" s="4"/>
      <c r="I7" s="4"/>
      <c r="J7" s="27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8"/>
      <c r="AD7" s="4"/>
      <c r="AE7" s="27"/>
      <c r="AF7" s="4"/>
      <c r="AG7" s="27"/>
      <c r="AH7" s="4"/>
      <c r="AI7" s="54">
        <f t="shared" si="0"/>
        <v>0</v>
      </c>
      <c r="AJ7" s="36">
        <f>SUM(D7,E7,F7,G7,H7,I7,J7,K7,L7,M7,N7,O7,P7,Q7,R7,S7,T7,U7,V7,W7,X7,Y7,Z7,AA7,AB7,AC7,AD7,AE7,AF7,AG7,AH7)</f>
        <v>0</v>
      </c>
      <c r="AK7" s="5">
        <f>(AJ7/AJ3)*100</f>
        <v>0</v>
      </c>
    </row>
    <row r="8" spans="1:37" x14ac:dyDescent="0.3">
      <c r="A8" s="126"/>
      <c r="B8" s="115"/>
      <c r="C8" s="87" t="s">
        <v>16</v>
      </c>
      <c r="D8" s="48"/>
      <c r="E8" s="49"/>
      <c r="F8" s="49"/>
      <c r="G8" s="49"/>
      <c r="H8" s="49"/>
      <c r="I8" s="49"/>
      <c r="J8" s="50"/>
      <c r="K8" s="49"/>
      <c r="L8" s="49"/>
      <c r="M8" s="49"/>
      <c r="N8" s="49">
        <v>6</v>
      </c>
      <c r="O8" s="49"/>
      <c r="P8" s="49"/>
      <c r="Q8" s="49"/>
      <c r="R8" s="49"/>
      <c r="S8" s="49"/>
      <c r="T8" s="49"/>
      <c r="U8" s="49"/>
      <c r="V8" s="49">
        <v>5</v>
      </c>
      <c r="W8" s="49"/>
      <c r="X8" s="49"/>
      <c r="Y8" s="49"/>
      <c r="Z8" s="49"/>
      <c r="AA8" s="49">
        <v>3</v>
      </c>
      <c r="AB8" s="49"/>
      <c r="AC8" s="48"/>
      <c r="AD8" s="49"/>
      <c r="AE8" s="50"/>
      <c r="AF8" s="49"/>
      <c r="AG8" s="50"/>
      <c r="AH8" s="49"/>
      <c r="AI8" s="57">
        <f t="shared" si="0"/>
        <v>0.45161290322580644</v>
      </c>
      <c r="AJ8" s="51">
        <f>SUM(D8,E8,F8,G8,H8,I8,J8,K8,L8,M8,N8,O8,P8,Q8,R8,S8,T8,U8,V8,W8,X8,Y8,Z8,AA8,AB8,AC8,AD8,AE8,AF8,AG8,AH8)</f>
        <v>14</v>
      </c>
      <c r="AK8" s="52">
        <f>(AJ8/AJ3)*100</f>
        <v>0.43763676148796499</v>
      </c>
    </row>
    <row r="9" spans="1:37" x14ac:dyDescent="0.3">
      <c r="A9" s="126"/>
      <c r="B9" s="115"/>
      <c r="C9" s="86" t="s">
        <v>14</v>
      </c>
      <c r="D9" s="24">
        <v>6</v>
      </c>
      <c r="E9" s="2"/>
      <c r="F9" s="2">
        <v>5</v>
      </c>
      <c r="G9" s="2">
        <v>16</v>
      </c>
      <c r="H9" s="2"/>
      <c r="I9" s="2"/>
      <c r="J9" s="25">
        <v>24</v>
      </c>
      <c r="K9" s="2"/>
      <c r="L9" s="2">
        <v>14</v>
      </c>
      <c r="M9" s="2">
        <v>20</v>
      </c>
      <c r="N9" s="2">
        <v>3</v>
      </c>
      <c r="O9" s="2">
        <v>12</v>
      </c>
      <c r="P9" s="2">
        <v>4</v>
      </c>
      <c r="Q9" s="2">
        <v>12</v>
      </c>
      <c r="R9" s="2">
        <v>26</v>
      </c>
      <c r="S9" s="2"/>
      <c r="T9" s="2">
        <v>9</v>
      </c>
      <c r="U9" s="2">
        <v>12</v>
      </c>
      <c r="V9" s="2">
        <v>9</v>
      </c>
      <c r="W9" s="2"/>
      <c r="X9" s="2"/>
      <c r="Y9" s="2">
        <v>5</v>
      </c>
      <c r="Z9" s="2"/>
      <c r="AA9" s="2"/>
      <c r="AB9" s="2"/>
      <c r="AC9" s="24"/>
      <c r="AD9" s="2"/>
      <c r="AE9" s="26"/>
      <c r="AF9" s="2">
        <v>26</v>
      </c>
      <c r="AG9" s="26"/>
      <c r="AH9" s="2">
        <v>20</v>
      </c>
      <c r="AI9" s="53">
        <f t="shared" si="0"/>
        <v>7.193548387096774</v>
      </c>
      <c r="AJ9" s="35">
        <f>SUM(D9,E9,F9,G9,H9,I9,J9,K9,L9,M9,N9,O9,P9,Q9,R9,S9,T9,U9,V9,W9,X9,Y9,Z9,AA9,AB9,AC9,AD9,AE9,AF9,AG9,AH9)</f>
        <v>223</v>
      </c>
      <c r="AK9" s="3">
        <f>(AJ9/AJ3)*100</f>
        <v>6.9709284151297277</v>
      </c>
    </row>
    <row r="10" spans="1:37" x14ac:dyDescent="0.3">
      <c r="A10" s="126"/>
      <c r="B10" s="115"/>
      <c r="C10" s="86" t="s">
        <v>17</v>
      </c>
      <c r="D10" s="4"/>
      <c r="E10" s="4"/>
      <c r="F10" s="4"/>
      <c r="G10" s="4"/>
      <c r="H10" s="4"/>
      <c r="I10" s="4"/>
      <c r="J10" s="27"/>
      <c r="K10" s="4"/>
      <c r="L10" s="4"/>
      <c r="M10" s="4"/>
      <c r="N10" s="4">
        <v>250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8"/>
      <c r="AD10" s="4"/>
      <c r="AE10" s="27"/>
      <c r="AF10" s="4"/>
      <c r="AG10" s="27"/>
      <c r="AH10" s="4"/>
      <c r="AI10" s="54">
        <f t="shared" si="0"/>
        <v>8.064516129032258</v>
      </c>
      <c r="AJ10" s="36">
        <v>250</v>
      </c>
      <c r="AK10" s="5">
        <f>(AJ10/AJ3)*100</f>
        <v>7.8149421694279466</v>
      </c>
    </row>
    <row r="11" spans="1:37" x14ac:dyDescent="0.3">
      <c r="A11" s="126"/>
      <c r="B11" s="115"/>
      <c r="C11" s="86" t="s">
        <v>18</v>
      </c>
      <c r="D11" s="24">
        <v>100</v>
      </c>
      <c r="E11" s="2"/>
      <c r="F11" s="2"/>
      <c r="G11" s="2"/>
      <c r="H11" s="2"/>
      <c r="I11" s="2"/>
      <c r="J11" s="25"/>
      <c r="K11" s="2">
        <v>85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4"/>
      <c r="AD11" s="2"/>
      <c r="AE11" s="26">
        <v>38</v>
      </c>
      <c r="AF11" s="2">
        <v>520</v>
      </c>
      <c r="AG11" s="26"/>
      <c r="AH11" s="2"/>
      <c r="AI11" s="53">
        <f t="shared" si="0"/>
        <v>23.967741935483872</v>
      </c>
      <c r="AJ11" s="35">
        <v>743</v>
      </c>
      <c r="AK11" s="3">
        <f>(AJ11/AJ3)*100</f>
        <v>23.226008127539856</v>
      </c>
    </row>
    <row r="12" spans="1:37" ht="18.75" customHeight="1" x14ac:dyDescent="0.3">
      <c r="A12" s="126"/>
      <c r="B12" s="140" t="s">
        <v>22</v>
      </c>
      <c r="C12" s="88" t="s">
        <v>2</v>
      </c>
      <c r="D12" s="6"/>
      <c r="E12" s="6">
        <v>38</v>
      </c>
      <c r="F12" s="6"/>
      <c r="G12" s="6"/>
      <c r="H12" s="6"/>
      <c r="I12" s="6"/>
      <c r="J12" s="29"/>
      <c r="K12" s="6"/>
      <c r="L12" s="6">
        <v>50</v>
      </c>
      <c r="M12" s="6"/>
      <c r="N12" s="6">
        <v>26</v>
      </c>
      <c r="O12" s="6"/>
      <c r="P12" s="6"/>
      <c r="Q12" s="6"/>
      <c r="R12" s="6">
        <v>30</v>
      </c>
      <c r="S12" s="6"/>
      <c r="T12" s="6"/>
      <c r="U12" s="6"/>
      <c r="V12" s="6">
        <v>25</v>
      </c>
      <c r="W12" s="6"/>
      <c r="X12" s="6"/>
      <c r="Y12" s="6">
        <v>30</v>
      </c>
      <c r="Z12" s="6"/>
      <c r="AA12" s="6"/>
      <c r="AB12" s="6"/>
      <c r="AC12" s="30">
        <v>45</v>
      </c>
      <c r="AD12" s="6"/>
      <c r="AE12" s="29"/>
      <c r="AF12" s="6">
        <v>13</v>
      </c>
      <c r="AG12" s="29">
        <v>20</v>
      </c>
      <c r="AH12" s="6"/>
      <c r="AI12" s="55">
        <f t="shared" si="0"/>
        <v>8.935483870967742</v>
      </c>
      <c r="AJ12" s="37">
        <v>277</v>
      </c>
      <c r="AK12" s="7">
        <f>(AJ12/AJ3)*100</f>
        <v>8.6589559237261646</v>
      </c>
    </row>
    <row r="13" spans="1:37" ht="18" customHeight="1" x14ac:dyDescent="0.3">
      <c r="A13" s="126"/>
      <c r="B13" s="141"/>
      <c r="C13" s="88" t="s">
        <v>32</v>
      </c>
      <c r="D13" s="31"/>
      <c r="E13" s="8">
        <v>15</v>
      </c>
      <c r="F13" s="8"/>
      <c r="G13" s="8"/>
      <c r="H13" s="8"/>
      <c r="I13" s="8"/>
      <c r="J13" s="32"/>
      <c r="K13" s="8"/>
      <c r="L13" s="8"/>
      <c r="M13" s="8"/>
      <c r="N13" s="8">
        <v>11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31">
        <v>32</v>
      </c>
      <c r="AD13" s="8"/>
      <c r="AE13" s="33"/>
      <c r="AF13" s="8"/>
      <c r="AG13" s="33">
        <v>10</v>
      </c>
      <c r="AH13" s="8"/>
      <c r="AI13" s="56">
        <f t="shared" si="0"/>
        <v>2.193548387096774</v>
      </c>
      <c r="AJ13" s="38">
        <v>68</v>
      </c>
      <c r="AK13" s="9">
        <f>(AJ13/AJ3)*100</f>
        <v>2.1256642700844015</v>
      </c>
    </row>
    <row r="14" spans="1:37" ht="18.75" customHeight="1" x14ac:dyDescent="0.3">
      <c r="A14" s="126"/>
      <c r="B14" s="141"/>
      <c r="C14" s="82" t="s">
        <v>19</v>
      </c>
      <c r="D14" s="6"/>
      <c r="E14" s="6"/>
      <c r="F14" s="6"/>
      <c r="G14" s="6"/>
      <c r="H14" s="6"/>
      <c r="I14" s="6"/>
      <c r="J14" s="29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30"/>
      <c r="AD14" s="6"/>
      <c r="AE14" s="29"/>
      <c r="AF14" s="6"/>
      <c r="AG14" s="29"/>
      <c r="AH14" s="6"/>
      <c r="AI14" s="55">
        <f t="shared" si="0"/>
        <v>0</v>
      </c>
      <c r="AJ14" s="37">
        <v>0</v>
      </c>
      <c r="AK14" s="7">
        <f>(AJ14/AJ3)*100</f>
        <v>0</v>
      </c>
    </row>
    <row r="15" spans="1:37" x14ac:dyDescent="0.3">
      <c r="A15" s="126"/>
      <c r="B15" s="142"/>
      <c r="C15" s="88" t="s">
        <v>20</v>
      </c>
      <c r="D15" s="6"/>
      <c r="E15" s="6"/>
      <c r="F15" s="6"/>
      <c r="G15" s="6"/>
      <c r="H15" s="6"/>
      <c r="I15" s="6"/>
      <c r="J15" s="29">
        <v>30</v>
      </c>
      <c r="K15" s="6"/>
      <c r="L15" s="6"/>
      <c r="M15" s="6"/>
      <c r="N15" s="6">
        <v>25</v>
      </c>
      <c r="O15" s="6">
        <v>10</v>
      </c>
      <c r="P15" s="6"/>
      <c r="Q15" s="6"/>
      <c r="R15" s="6"/>
      <c r="S15" s="6">
        <v>40</v>
      </c>
      <c r="T15" s="6">
        <v>50</v>
      </c>
      <c r="U15" s="6"/>
      <c r="V15" s="6"/>
      <c r="W15" s="6"/>
      <c r="X15" s="6"/>
      <c r="Y15" s="6"/>
      <c r="Z15" s="6">
        <v>5</v>
      </c>
      <c r="AA15" s="6"/>
      <c r="AB15" s="6"/>
      <c r="AC15" s="30"/>
      <c r="AD15" s="6"/>
      <c r="AE15" s="29"/>
      <c r="AF15" s="6"/>
      <c r="AG15" s="29"/>
      <c r="AH15" s="6"/>
      <c r="AI15" s="55">
        <f>AJ15/31</f>
        <v>5.161290322580645</v>
      </c>
      <c r="AJ15" s="37">
        <v>160</v>
      </c>
      <c r="AK15" s="7">
        <f>(AJ15/AJ3)*100</f>
        <v>5.0015629884338857</v>
      </c>
    </row>
    <row r="16" spans="1:37" x14ac:dyDescent="0.3">
      <c r="A16" s="127"/>
      <c r="B16" s="119" t="s">
        <v>23</v>
      </c>
      <c r="C16" s="120"/>
      <c r="D16" s="119">
        <f>SUM(D5:F15)+206</f>
        <v>370</v>
      </c>
      <c r="E16" s="120"/>
      <c r="F16" s="124"/>
      <c r="G16" s="119">
        <f>SUM(G5:M15)</f>
        <v>352</v>
      </c>
      <c r="H16" s="120"/>
      <c r="I16" s="120"/>
      <c r="J16" s="120"/>
      <c r="K16" s="120"/>
      <c r="L16" s="120"/>
      <c r="M16" s="124"/>
      <c r="N16" s="119">
        <f>SUM(N5:T15)</f>
        <v>551</v>
      </c>
      <c r="O16" s="120"/>
      <c r="P16" s="120"/>
      <c r="Q16" s="120"/>
      <c r="R16" s="120"/>
      <c r="S16" s="120"/>
      <c r="T16" s="124"/>
      <c r="U16" s="119">
        <f>SUM(U5:AA15)</f>
        <v>146</v>
      </c>
      <c r="V16" s="120"/>
      <c r="W16" s="120"/>
      <c r="X16" s="120"/>
      <c r="Y16" s="120"/>
      <c r="Z16" s="120"/>
      <c r="AA16" s="124"/>
      <c r="AB16" s="119">
        <f>SUM(AB5:AH15)</f>
        <v>1327</v>
      </c>
      <c r="AC16" s="120"/>
      <c r="AD16" s="120"/>
      <c r="AE16" s="120"/>
      <c r="AF16" s="120"/>
      <c r="AG16" s="120"/>
      <c r="AH16" s="124"/>
      <c r="AI16" s="65">
        <f>AJ16/31</f>
        <v>81.935483870967744</v>
      </c>
      <c r="AJ16" s="64">
        <f>SUM(AJ5,AJ6,AJ7,AJ8,AJ9,AJ10,AJ11,AJ12,AJ13,AJ14,AJ15)</f>
        <v>2540</v>
      </c>
      <c r="AK16" s="10">
        <f>SUM(AK5,AK6,AK7,AK8,AK9,AK10,AK11,AK12,AK13,AK14,AK15)</f>
        <v>79.399812441387937</v>
      </c>
    </row>
    <row r="17" spans="1:37" x14ac:dyDescent="0.3">
      <c r="A17" s="121" t="s">
        <v>11</v>
      </c>
      <c r="B17" s="121"/>
      <c r="C17" s="122"/>
      <c r="D17" s="123">
        <v>704</v>
      </c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2"/>
      <c r="AK17" s="46"/>
    </row>
    <row r="18" spans="1:37" x14ac:dyDescent="0.3">
      <c r="A18" s="109" t="s">
        <v>24</v>
      </c>
      <c r="B18" s="109"/>
      <c r="C18" s="110"/>
      <c r="D18" s="111">
        <f>(AJ3+D17)-AJ16</f>
        <v>1363</v>
      </c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2"/>
      <c r="AK18" s="34">
        <f>((AJ3-AJ16)/AJ3)*100</f>
        <v>20.600187558612067</v>
      </c>
    </row>
  </sheetData>
  <mergeCells count="21">
    <mergeCell ref="A18:C18"/>
    <mergeCell ref="D18:AJ18"/>
    <mergeCell ref="A5:A16"/>
    <mergeCell ref="B5:B11"/>
    <mergeCell ref="B12:B15"/>
    <mergeCell ref="B16:C16"/>
    <mergeCell ref="A17:C17"/>
    <mergeCell ref="D17:AJ17"/>
    <mergeCell ref="D16:F16"/>
    <mergeCell ref="G16:M16"/>
    <mergeCell ref="N16:T16"/>
    <mergeCell ref="U16:AA16"/>
    <mergeCell ref="AB16:AH16"/>
    <mergeCell ref="A1:C2"/>
    <mergeCell ref="AJ1:AJ2"/>
    <mergeCell ref="AK1:AK2"/>
    <mergeCell ref="A3:B4"/>
    <mergeCell ref="AJ3:AJ4"/>
    <mergeCell ref="AK3:AK4"/>
    <mergeCell ref="AI1:AI2"/>
    <mergeCell ref="AI3:AI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8"/>
  <sheetViews>
    <sheetView zoomScale="80" zoomScaleNormal="80" workbookViewId="0">
      <selection activeCell="B12" sqref="B12:B15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1.570312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75" customHeight="1" x14ac:dyDescent="0.3">
      <c r="A1" s="91"/>
      <c r="B1" s="91"/>
      <c r="C1" s="92"/>
      <c r="D1" s="41" t="s">
        <v>9</v>
      </c>
      <c r="E1" s="41" t="s">
        <v>8</v>
      </c>
      <c r="F1" s="41" t="s">
        <v>7</v>
      </c>
      <c r="G1" s="42" t="s">
        <v>6</v>
      </c>
      <c r="H1" s="40" t="s">
        <v>5</v>
      </c>
      <c r="I1" s="41" t="s">
        <v>4</v>
      </c>
      <c r="J1" s="42" t="s">
        <v>29</v>
      </c>
      <c r="K1" s="41" t="s">
        <v>9</v>
      </c>
      <c r="L1" s="41" t="s">
        <v>8</v>
      </c>
      <c r="M1" s="41" t="s">
        <v>7</v>
      </c>
      <c r="N1" s="42" t="s">
        <v>6</v>
      </c>
      <c r="O1" s="40" t="s">
        <v>5</v>
      </c>
      <c r="P1" s="41" t="s">
        <v>4</v>
      </c>
      <c r="Q1" s="42" t="s">
        <v>29</v>
      </c>
      <c r="R1" s="41" t="s">
        <v>9</v>
      </c>
      <c r="S1" s="41" t="s">
        <v>8</v>
      </c>
      <c r="T1" s="41" t="s">
        <v>7</v>
      </c>
      <c r="U1" s="42" t="s">
        <v>6</v>
      </c>
      <c r="V1" s="40" t="s">
        <v>5</v>
      </c>
      <c r="W1" s="41" t="s">
        <v>4</v>
      </c>
      <c r="X1" s="42" t="s">
        <v>29</v>
      </c>
      <c r="Y1" s="41" t="s">
        <v>9</v>
      </c>
      <c r="Z1" s="41" t="s">
        <v>8</v>
      </c>
      <c r="AA1" s="41" t="s">
        <v>7</v>
      </c>
      <c r="AB1" s="42" t="s">
        <v>6</v>
      </c>
      <c r="AC1" s="40" t="s">
        <v>5</v>
      </c>
      <c r="AD1" s="41" t="s">
        <v>4</v>
      </c>
      <c r="AE1" s="42" t="s">
        <v>29</v>
      </c>
      <c r="AF1" s="41" t="s">
        <v>9</v>
      </c>
      <c r="AG1" s="41" t="s">
        <v>8</v>
      </c>
      <c r="AH1" s="47"/>
      <c r="AI1" s="105" t="s">
        <v>31</v>
      </c>
      <c r="AJ1" s="95" t="s">
        <v>30</v>
      </c>
      <c r="AK1" s="97" t="s">
        <v>10</v>
      </c>
    </row>
    <row r="2" spans="1:37" x14ac:dyDescent="0.3">
      <c r="A2" s="93"/>
      <c r="B2" s="93"/>
      <c r="C2" s="94"/>
      <c r="D2" s="13">
        <v>1</v>
      </c>
      <c r="E2" s="14">
        <v>2</v>
      </c>
      <c r="F2" s="14">
        <v>3</v>
      </c>
      <c r="G2" s="14">
        <v>4</v>
      </c>
      <c r="H2" s="14">
        <v>5</v>
      </c>
      <c r="I2" s="14">
        <v>6</v>
      </c>
      <c r="J2" s="15">
        <v>7</v>
      </c>
      <c r="K2" s="14">
        <v>8</v>
      </c>
      <c r="L2" s="14">
        <v>9</v>
      </c>
      <c r="M2" s="14">
        <v>10</v>
      </c>
      <c r="N2" s="14">
        <v>11</v>
      </c>
      <c r="O2" s="14">
        <v>12</v>
      </c>
      <c r="P2" s="14">
        <v>13</v>
      </c>
      <c r="Q2" s="14">
        <v>14</v>
      </c>
      <c r="R2" s="14">
        <v>15</v>
      </c>
      <c r="S2" s="14">
        <v>16</v>
      </c>
      <c r="T2" s="14">
        <v>17</v>
      </c>
      <c r="U2" s="14">
        <v>18</v>
      </c>
      <c r="V2" s="14">
        <v>19</v>
      </c>
      <c r="W2" s="14">
        <v>20</v>
      </c>
      <c r="X2" s="14">
        <v>21</v>
      </c>
      <c r="Y2" s="14">
        <v>22</v>
      </c>
      <c r="Z2" s="14">
        <v>23</v>
      </c>
      <c r="AA2" s="14">
        <v>24</v>
      </c>
      <c r="AB2" s="14">
        <v>25</v>
      </c>
      <c r="AC2" s="13">
        <v>26</v>
      </c>
      <c r="AD2" s="14">
        <v>27</v>
      </c>
      <c r="AE2" s="15">
        <v>28</v>
      </c>
      <c r="AF2" s="14">
        <v>29</v>
      </c>
      <c r="AG2" s="15">
        <v>30</v>
      </c>
      <c r="AH2" s="14">
        <v>31</v>
      </c>
      <c r="AI2" s="106"/>
      <c r="AJ2" s="96"/>
      <c r="AK2" s="98"/>
    </row>
    <row r="3" spans="1:37" x14ac:dyDescent="0.3">
      <c r="A3" s="99" t="s">
        <v>28</v>
      </c>
      <c r="B3" s="100"/>
      <c r="C3" s="83" t="s">
        <v>0</v>
      </c>
      <c r="D3" s="17"/>
      <c r="E3" s="18"/>
      <c r="F3" s="18"/>
      <c r="G3" s="18"/>
      <c r="H3" s="18">
        <v>2201</v>
      </c>
      <c r="I3" s="21"/>
      <c r="J3" s="19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>
        <v>1047</v>
      </c>
      <c r="AA3" s="18"/>
      <c r="AB3" s="18"/>
      <c r="AC3" s="17"/>
      <c r="AD3" s="18"/>
      <c r="AE3" s="20"/>
      <c r="AF3" s="18"/>
      <c r="AG3" s="20"/>
      <c r="AH3" s="18"/>
      <c r="AI3" s="107">
        <f>AJ3/30</f>
        <v>123.93333333333334</v>
      </c>
      <c r="AJ3" s="103">
        <f>SUM(D3,E3,F3,G3,H3,I3,J3,K3,L3,M3,N3,O3,P3,Q3,R3,S3,T3,U3,V3,W3,X3,Y3,Z3,AA3,AB3,AC3,AD3,AE3,AF3,AG3,AH3,D4,E4,F4,G4,H4,I4,J4,K4,L4,M4,N4,O4,P4,Q4,R4,S4,T4,U4,V4,W4,X4,Y4,Z4,AA4,AB4,AC4,AD4,AE4,AF4,AG4,AH4)</f>
        <v>3718</v>
      </c>
      <c r="AK3" s="103">
        <v>100</v>
      </c>
    </row>
    <row r="4" spans="1:37" x14ac:dyDescent="0.3">
      <c r="A4" s="101"/>
      <c r="B4" s="102"/>
      <c r="C4" s="84" t="s">
        <v>12</v>
      </c>
      <c r="D4" s="21"/>
      <c r="E4" s="21"/>
      <c r="F4" s="21"/>
      <c r="G4" s="21"/>
      <c r="H4" s="21"/>
      <c r="I4" s="21"/>
      <c r="J4" s="22"/>
      <c r="K4" s="21"/>
      <c r="L4" s="21"/>
      <c r="M4" s="21"/>
      <c r="N4" s="21"/>
      <c r="O4" s="21"/>
      <c r="P4" s="21"/>
      <c r="Q4" s="21">
        <v>50</v>
      </c>
      <c r="R4" s="21"/>
      <c r="S4" s="21"/>
      <c r="T4" s="21"/>
      <c r="U4" s="21"/>
      <c r="V4" s="21"/>
      <c r="W4" s="21">
        <v>350</v>
      </c>
      <c r="X4" s="21"/>
      <c r="Y4" s="21"/>
      <c r="Z4" s="21"/>
      <c r="AA4" s="21"/>
      <c r="AB4" s="21"/>
      <c r="AC4" s="23">
        <v>20</v>
      </c>
      <c r="AD4" s="21">
        <v>50</v>
      </c>
      <c r="AE4" s="22"/>
      <c r="AF4" s="21"/>
      <c r="AG4" s="22"/>
      <c r="AH4" s="21"/>
      <c r="AI4" s="108"/>
      <c r="AJ4" s="104"/>
      <c r="AK4" s="104"/>
    </row>
    <row r="5" spans="1:37" ht="18.75" customHeight="1" x14ac:dyDescent="0.3">
      <c r="A5" s="125" t="s">
        <v>27</v>
      </c>
      <c r="B5" s="115" t="s">
        <v>21</v>
      </c>
      <c r="C5" s="85" t="s">
        <v>13</v>
      </c>
      <c r="D5" s="24">
        <v>9</v>
      </c>
      <c r="E5" s="2"/>
      <c r="F5" s="2">
        <v>23</v>
      </c>
      <c r="G5" s="2"/>
      <c r="H5" s="2">
        <v>18</v>
      </c>
      <c r="I5" s="2"/>
      <c r="J5" s="25"/>
      <c r="K5" s="2">
        <v>10</v>
      </c>
      <c r="L5" s="2"/>
      <c r="M5" s="2">
        <v>18</v>
      </c>
      <c r="N5" s="2">
        <v>16</v>
      </c>
      <c r="O5" s="2"/>
      <c r="P5" s="2"/>
      <c r="Q5" s="2"/>
      <c r="R5" s="2"/>
      <c r="S5" s="2">
        <v>5</v>
      </c>
      <c r="T5" s="2"/>
      <c r="U5" s="2">
        <v>27</v>
      </c>
      <c r="V5" s="2"/>
      <c r="W5" s="2"/>
      <c r="X5" s="2">
        <v>5</v>
      </c>
      <c r="Y5" s="2">
        <v>40</v>
      </c>
      <c r="Z5" s="2">
        <v>4</v>
      </c>
      <c r="AA5" s="2">
        <v>21</v>
      </c>
      <c r="AB5" s="2"/>
      <c r="AC5" s="24"/>
      <c r="AD5" s="2"/>
      <c r="AE5" s="26"/>
      <c r="AF5" s="2">
        <v>6</v>
      </c>
      <c r="AG5" s="26">
        <v>5</v>
      </c>
      <c r="AH5" s="2"/>
      <c r="AI5" s="53">
        <f t="shared" ref="AI5:AI15" si="0">AJ5/30</f>
        <v>6.9</v>
      </c>
      <c r="AJ5" s="35">
        <f t="shared" ref="AJ5" si="1">SUM(D5,E5,F5,G5,H5,I5,J5,K5,L5,M5,N5,O5,P5,Q5,R5,S5,T5,U5,V5,W5,X5,Y5,Z5,AA5,AB5,AC5,AD5,AE5,AF5,AG5,AH5)</f>
        <v>207</v>
      </c>
      <c r="AK5" s="3">
        <f>(AJ5/AJ3)*100</f>
        <v>5.5675094136632595</v>
      </c>
    </row>
    <row r="6" spans="1:37" x14ac:dyDescent="0.3">
      <c r="A6" s="126"/>
      <c r="B6" s="115"/>
      <c r="C6" s="86" t="s">
        <v>1</v>
      </c>
      <c r="D6" s="4"/>
      <c r="E6" s="4"/>
      <c r="F6" s="4"/>
      <c r="G6" s="4"/>
      <c r="H6" s="4"/>
      <c r="I6" s="4"/>
      <c r="J6" s="27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28"/>
      <c r="AD6" s="4"/>
      <c r="AE6" s="27"/>
      <c r="AF6" s="4">
        <v>45</v>
      </c>
      <c r="AG6" s="27"/>
      <c r="AH6" s="4"/>
      <c r="AI6" s="54">
        <f t="shared" si="0"/>
        <v>1.5</v>
      </c>
      <c r="AJ6" s="36">
        <f>SUM(D6,E6,F6,G6,H6,I6,J6,K6,L6,M6,N6,O6,P6,Q6,R6,S6,T6,U6,V6,W6,X6,Y6,Z6,AA6,AB6,AC6,AD6,AE6,AF6,AG6,AH6)</f>
        <v>45</v>
      </c>
      <c r="AK6" s="5">
        <f>(AJ6/AJ3)*100</f>
        <v>1.2103281334050566</v>
      </c>
    </row>
    <row r="7" spans="1:37" x14ac:dyDescent="0.3">
      <c r="A7" s="126"/>
      <c r="B7" s="115"/>
      <c r="C7" s="86" t="s">
        <v>15</v>
      </c>
      <c r="D7" s="28"/>
      <c r="E7" s="4"/>
      <c r="F7" s="4"/>
      <c r="G7" s="4">
        <v>121</v>
      </c>
      <c r="H7" s="4"/>
      <c r="I7" s="4"/>
      <c r="J7" s="27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8"/>
      <c r="AD7" s="4"/>
      <c r="AE7" s="27"/>
      <c r="AF7" s="4"/>
      <c r="AG7" s="27"/>
      <c r="AH7" s="4"/>
      <c r="AI7" s="54">
        <f t="shared" si="0"/>
        <v>4.0333333333333332</v>
      </c>
      <c r="AJ7" s="36">
        <f>SUM(D7,E7,F7,G7,H7,I7,J7,K7,L7,M7,N7,O7,P7,Q7,R7,S7,T7,U7,V7,W7,X7,Y7,Z7,AA7,AB7,AC7,AD7,AE7,AF7,AG7,AH7)</f>
        <v>121</v>
      </c>
      <c r="AK7" s="5">
        <f>(AJ7/AJ3)*100</f>
        <v>3.2544378698224854</v>
      </c>
    </row>
    <row r="8" spans="1:37" x14ac:dyDescent="0.3">
      <c r="A8" s="126"/>
      <c r="B8" s="115"/>
      <c r="C8" s="87" t="s">
        <v>16</v>
      </c>
      <c r="D8" s="48"/>
      <c r="E8" s="49"/>
      <c r="F8" s="49"/>
      <c r="G8" s="49"/>
      <c r="H8" s="49"/>
      <c r="I8" s="49"/>
      <c r="J8" s="50"/>
      <c r="K8" s="49"/>
      <c r="L8" s="49"/>
      <c r="M8" s="49">
        <v>45</v>
      </c>
      <c r="N8" s="49"/>
      <c r="O8" s="49"/>
      <c r="P8" s="49"/>
      <c r="Q8" s="49">
        <v>4</v>
      </c>
      <c r="R8" s="49"/>
      <c r="S8" s="49"/>
      <c r="T8" s="49"/>
      <c r="U8" s="49"/>
      <c r="V8" s="49"/>
      <c r="W8" s="49"/>
      <c r="X8" s="49"/>
      <c r="Y8" s="49"/>
      <c r="Z8" s="49">
        <v>43</v>
      </c>
      <c r="AA8" s="49"/>
      <c r="AB8" s="49"/>
      <c r="AC8" s="48"/>
      <c r="AD8" s="49"/>
      <c r="AE8" s="50"/>
      <c r="AF8" s="49"/>
      <c r="AG8" s="50"/>
      <c r="AH8" s="49"/>
      <c r="AI8" s="57">
        <f t="shared" si="0"/>
        <v>3.0666666666666669</v>
      </c>
      <c r="AJ8" s="51">
        <f>SUM(D8,E8,F8,G8,H8,I8,J8,K8,L8,M8,N8,O8,P8,Q8,R8,S8,T8,U8,V8,W8,X8,Y8,Z8,AA8,AB8,AC8,AD8,AE8,AF8,AG8,AH8)</f>
        <v>92</v>
      </c>
      <c r="AK8" s="52">
        <f>(AJ8/AJ3)*100</f>
        <v>2.4744486282947822</v>
      </c>
    </row>
    <row r="9" spans="1:37" x14ac:dyDescent="0.3">
      <c r="A9" s="126"/>
      <c r="B9" s="115"/>
      <c r="C9" s="86" t="s">
        <v>14</v>
      </c>
      <c r="D9" s="24">
        <v>12</v>
      </c>
      <c r="E9" s="2"/>
      <c r="F9" s="2"/>
      <c r="G9" s="2">
        <v>6</v>
      </c>
      <c r="H9" s="2"/>
      <c r="I9" s="2">
        <v>3</v>
      </c>
      <c r="J9" s="25"/>
      <c r="K9" s="2">
        <v>11</v>
      </c>
      <c r="L9" s="2">
        <v>3</v>
      </c>
      <c r="M9" s="2">
        <v>17</v>
      </c>
      <c r="N9" s="2">
        <v>7</v>
      </c>
      <c r="O9" s="2">
        <v>33</v>
      </c>
      <c r="P9" s="2"/>
      <c r="Q9" s="2">
        <v>26</v>
      </c>
      <c r="R9" s="2">
        <v>11</v>
      </c>
      <c r="S9" s="2"/>
      <c r="T9" s="2">
        <v>2</v>
      </c>
      <c r="U9" s="2">
        <v>10</v>
      </c>
      <c r="V9" s="2">
        <v>12</v>
      </c>
      <c r="W9" s="2"/>
      <c r="X9" s="2"/>
      <c r="Y9" s="2"/>
      <c r="Z9" s="2"/>
      <c r="AA9" s="2">
        <v>11</v>
      </c>
      <c r="AB9" s="2">
        <v>4</v>
      </c>
      <c r="AC9" s="24">
        <v>29</v>
      </c>
      <c r="AD9" s="2"/>
      <c r="AE9" s="26">
        <v>22</v>
      </c>
      <c r="AF9" s="2"/>
      <c r="AG9" s="26"/>
      <c r="AH9" s="2"/>
      <c r="AI9" s="53">
        <f t="shared" si="0"/>
        <v>7.3</v>
      </c>
      <c r="AJ9" s="35">
        <f>SUM(D9,E9,F9,G9,H9,I9,J9,K9,L9,M9,N9,O9,P9,Q9,R9,S9,T9,U9,V9,W9,X9,Y9,Z9,AA9,AB9,AC9,AD9,AE9,AF9,AG9,AH9)</f>
        <v>219</v>
      </c>
      <c r="AK9" s="3">
        <f>(AJ9/AJ3)*100</f>
        <v>5.8902635825712748</v>
      </c>
    </row>
    <row r="10" spans="1:37" x14ac:dyDescent="0.3">
      <c r="A10" s="126"/>
      <c r="B10" s="115"/>
      <c r="C10" s="86" t="s">
        <v>17</v>
      </c>
      <c r="D10" s="4"/>
      <c r="E10" s="4"/>
      <c r="F10" s="4"/>
      <c r="G10" s="4"/>
      <c r="H10" s="4"/>
      <c r="I10" s="4"/>
      <c r="J10" s="27"/>
      <c r="K10" s="4"/>
      <c r="L10" s="4"/>
      <c r="M10" s="4"/>
      <c r="N10" s="4"/>
      <c r="O10" s="4">
        <v>236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8"/>
      <c r="AD10" s="4"/>
      <c r="AE10" s="27"/>
      <c r="AF10" s="4"/>
      <c r="AG10" s="27"/>
      <c r="AH10" s="4"/>
      <c r="AI10" s="54">
        <f t="shared" si="0"/>
        <v>7.8666666666666663</v>
      </c>
      <c r="AJ10" s="36">
        <v>236</v>
      </c>
      <c r="AK10" s="5">
        <f>(AJ10/AJ3)*100</f>
        <v>6.3474986551909627</v>
      </c>
    </row>
    <row r="11" spans="1:37" x14ac:dyDescent="0.3">
      <c r="A11" s="126"/>
      <c r="B11" s="115"/>
      <c r="C11" s="86" t="s">
        <v>18</v>
      </c>
      <c r="D11" s="24"/>
      <c r="E11" s="2"/>
      <c r="F11" s="2">
        <v>10</v>
      </c>
      <c r="G11" s="2">
        <v>10</v>
      </c>
      <c r="H11" s="2"/>
      <c r="I11" s="2">
        <v>1423</v>
      </c>
      <c r="J11" s="25"/>
      <c r="K11" s="2"/>
      <c r="L11" s="2"/>
      <c r="M11" s="2"/>
      <c r="N11" s="2"/>
      <c r="O11" s="2">
        <v>88</v>
      </c>
      <c r="P11" s="2"/>
      <c r="Q11" s="2"/>
      <c r="R11" s="2"/>
      <c r="S11" s="2"/>
      <c r="T11" s="2"/>
      <c r="U11" s="2"/>
      <c r="V11" s="2">
        <v>400</v>
      </c>
      <c r="W11" s="2">
        <v>16</v>
      </c>
      <c r="X11" s="2"/>
      <c r="Y11" s="2"/>
      <c r="Z11" s="2"/>
      <c r="AA11" s="2"/>
      <c r="AB11" s="2"/>
      <c r="AC11" s="24"/>
      <c r="AD11" s="2"/>
      <c r="AE11" s="26"/>
      <c r="AF11" s="2"/>
      <c r="AG11" s="26"/>
      <c r="AH11" s="2"/>
      <c r="AI11" s="53">
        <f t="shared" si="0"/>
        <v>64.900000000000006</v>
      </c>
      <c r="AJ11" s="35">
        <v>1947</v>
      </c>
      <c r="AK11" s="3">
        <f>(AJ11/AJ3)*100</f>
        <v>52.366863905325445</v>
      </c>
    </row>
    <row r="12" spans="1:37" ht="18.75" customHeight="1" x14ac:dyDescent="0.3">
      <c r="A12" s="126"/>
      <c r="B12" s="137" t="s">
        <v>22</v>
      </c>
      <c r="C12" s="88" t="s">
        <v>2</v>
      </c>
      <c r="D12" s="6"/>
      <c r="E12" s="6"/>
      <c r="F12" s="6"/>
      <c r="G12" s="6"/>
      <c r="H12" s="6"/>
      <c r="I12" s="6">
        <v>55</v>
      </c>
      <c r="J12" s="29"/>
      <c r="K12" s="6"/>
      <c r="L12" s="6"/>
      <c r="M12" s="6"/>
      <c r="N12" s="6">
        <v>47</v>
      </c>
      <c r="O12" s="6"/>
      <c r="P12" s="6"/>
      <c r="Q12" s="6"/>
      <c r="R12" s="6"/>
      <c r="S12" s="6"/>
      <c r="T12" s="6"/>
      <c r="U12" s="6">
        <v>109</v>
      </c>
      <c r="V12" s="6"/>
      <c r="W12" s="6"/>
      <c r="X12" s="6"/>
      <c r="Y12" s="6"/>
      <c r="Z12" s="6"/>
      <c r="AA12" s="6"/>
      <c r="AB12" s="6"/>
      <c r="AC12" s="30">
        <v>15</v>
      </c>
      <c r="AD12" s="6">
        <v>21</v>
      </c>
      <c r="AE12" s="29">
        <v>13</v>
      </c>
      <c r="AF12" s="6"/>
      <c r="AG12" s="29"/>
      <c r="AH12" s="6"/>
      <c r="AI12" s="55">
        <f t="shared" si="0"/>
        <v>8.6666666666666661</v>
      </c>
      <c r="AJ12" s="37">
        <v>260</v>
      </c>
      <c r="AK12" s="7">
        <f>(AJ12/AJ3)*100</f>
        <v>6.9930069930069934</v>
      </c>
    </row>
    <row r="13" spans="1:37" ht="18" customHeight="1" x14ac:dyDescent="0.3">
      <c r="A13" s="126"/>
      <c r="B13" s="138"/>
      <c r="C13" s="88" t="s">
        <v>32</v>
      </c>
      <c r="D13" s="31"/>
      <c r="E13" s="8"/>
      <c r="F13" s="8"/>
      <c r="G13" s="8"/>
      <c r="H13" s="8"/>
      <c r="I13" s="8"/>
      <c r="J13" s="32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31"/>
      <c r="AD13" s="8"/>
      <c r="AE13" s="33"/>
      <c r="AF13" s="8"/>
      <c r="AG13" s="33"/>
      <c r="AH13" s="8"/>
      <c r="AI13" s="56">
        <f t="shared" si="0"/>
        <v>0</v>
      </c>
      <c r="AJ13" s="38">
        <v>0</v>
      </c>
      <c r="AK13" s="9">
        <f>(AJ13/AJ3)*100</f>
        <v>0</v>
      </c>
    </row>
    <row r="14" spans="1:37" ht="20.25" customHeight="1" x14ac:dyDescent="0.3">
      <c r="A14" s="126"/>
      <c r="B14" s="138"/>
      <c r="C14" s="82" t="s">
        <v>19</v>
      </c>
      <c r="D14" s="6"/>
      <c r="E14" s="6"/>
      <c r="F14" s="6"/>
      <c r="G14" s="6"/>
      <c r="H14" s="6"/>
      <c r="I14" s="6">
        <v>160</v>
      </c>
      <c r="J14" s="29"/>
      <c r="K14" s="6"/>
      <c r="L14" s="6"/>
      <c r="M14" s="6"/>
      <c r="N14" s="6"/>
      <c r="O14" s="6"/>
      <c r="P14" s="6"/>
      <c r="Q14" s="6"/>
      <c r="R14" s="6"/>
      <c r="S14" s="6"/>
      <c r="T14" s="6">
        <v>217</v>
      </c>
      <c r="U14" s="6"/>
      <c r="V14" s="6"/>
      <c r="W14" s="6"/>
      <c r="X14" s="6"/>
      <c r="Y14" s="6"/>
      <c r="Z14" s="6"/>
      <c r="AA14" s="6"/>
      <c r="AB14" s="6"/>
      <c r="AC14" s="30"/>
      <c r="AD14" s="6"/>
      <c r="AE14" s="29"/>
      <c r="AF14" s="6"/>
      <c r="AG14" s="29"/>
      <c r="AH14" s="6"/>
      <c r="AI14" s="55">
        <f t="shared" si="0"/>
        <v>12.566666666666666</v>
      </c>
      <c r="AJ14" s="37">
        <v>377</v>
      </c>
      <c r="AK14" s="7">
        <f>(AJ14/AJ3)*100</f>
        <v>10.13986013986014</v>
      </c>
    </row>
    <row r="15" spans="1:37" x14ac:dyDescent="0.3">
      <c r="A15" s="126"/>
      <c r="B15" s="139"/>
      <c r="C15" s="88" t="s">
        <v>20</v>
      </c>
      <c r="D15" s="6"/>
      <c r="E15" s="6"/>
      <c r="F15" s="6">
        <v>25</v>
      </c>
      <c r="G15" s="6"/>
      <c r="H15" s="6"/>
      <c r="I15" s="6">
        <v>75</v>
      </c>
      <c r="J15" s="29"/>
      <c r="K15" s="6"/>
      <c r="L15" s="6"/>
      <c r="M15" s="6">
        <v>70</v>
      </c>
      <c r="N15" s="6"/>
      <c r="O15" s="6">
        <v>9</v>
      </c>
      <c r="P15" s="6">
        <v>40</v>
      </c>
      <c r="Q15" s="6"/>
      <c r="R15" s="6">
        <v>15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30">
        <v>150</v>
      </c>
      <c r="AD15" s="6"/>
      <c r="AE15" s="29"/>
      <c r="AF15" s="6"/>
      <c r="AG15" s="29"/>
      <c r="AH15" s="6"/>
      <c r="AI15" s="55">
        <f t="shared" si="0"/>
        <v>12.8</v>
      </c>
      <c r="AJ15" s="37">
        <v>384</v>
      </c>
      <c r="AK15" s="7">
        <f>(AJ15/AJ3)*100</f>
        <v>10.328133405056482</v>
      </c>
    </row>
    <row r="16" spans="1:37" x14ac:dyDescent="0.3">
      <c r="A16" s="127"/>
      <c r="B16" s="119" t="s">
        <v>23</v>
      </c>
      <c r="C16" s="120"/>
      <c r="D16" s="119">
        <f>SUM(D5:J15)</f>
        <v>1950</v>
      </c>
      <c r="E16" s="120"/>
      <c r="F16" s="120"/>
      <c r="G16" s="120"/>
      <c r="H16" s="120"/>
      <c r="I16" s="120"/>
      <c r="J16" s="124"/>
      <c r="K16" s="119">
        <f>SUM(K5:Q15)</f>
        <v>680</v>
      </c>
      <c r="L16" s="120"/>
      <c r="M16" s="120"/>
      <c r="N16" s="120"/>
      <c r="O16" s="120"/>
      <c r="P16" s="120"/>
      <c r="Q16" s="124"/>
      <c r="R16" s="119">
        <f>SUM(R5:X15)</f>
        <v>829</v>
      </c>
      <c r="S16" s="120"/>
      <c r="T16" s="120"/>
      <c r="U16" s="120"/>
      <c r="V16" s="120"/>
      <c r="W16" s="120"/>
      <c r="X16" s="124"/>
      <c r="Y16" s="119">
        <f>SUM(Y5:AE15)</f>
        <v>373</v>
      </c>
      <c r="Z16" s="120"/>
      <c r="AA16" s="120"/>
      <c r="AB16" s="120"/>
      <c r="AC16" s="120"/>
      <c r="AD16" s="120"/>
      <c r="AE16" s="124"/>
      <c r="AF16" s="119">
        <f>SUM(AF5:AG15)</f>
        <v>56</v>
      </c>
      <c r="AG16" s="124"/>
      <c r="AH16" s="64"/>
      <c r="AI16" s="65">
        <f>AJ16/30</f>
        <v>129.6</v>
      </c>
      <c r="AJ16" s="64">
        <f>SUM(AJ5,AJ6,AJ7,AJ8,AJ9,AJ10,AJ11,AJ12,AJ13,AJ14,AJ15)</f>
        <v>3888</v>
      </c>
      <c r="AK16" s="10">
        <f>SUM(AK5,AK6,AK7,AK8,AK9,AK10,AK11,AK12,AK13,AK14,AK15)</f>
        <v>104.57235072619686</v>
      </c>
    </row>
    <row r="17" spans="1:37" x14ac:dyDescent="0.3">
      <c r="A17" s="121" t="s">
        <v>11</v>
      </c>
      <c r="B17" s="121"/>
      <c r="C17" s="122"/>
      <c r="D17" s="123">
        <v>1363</v>
      </c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2"/>
      <c r="AK17" s="58"/>
    </row>
    <row r="18" spans="1:37" x14ac:dyDescent="0.3">
      <c r="A18" s="109" t="s">
        <v>24</v>
      </c>
      <c r="B18" s="109"/>
      <c r="C18" s="110"/>
      <c r="D18" s="111">
        <f>(AJ3+D17)-AJ16</f>
        <v>1193</v>
      </c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2"/>
      <c r="AK18" s="34">
        <f>((AJ3-AJ16)/AJ3)*100</f>
        <v>-4.5723507261968797</v>
      </c>
    </row>
  </sheetData>
  <mergeCells count="21">
    <mergeCell ref="A1:C2"/>
    <mergeCell ref="AI1:AI2"/>
    <mergeCell ref="AJ1:AJ2"/>
    <mergeCell ref="AK1:AK2"/>
    <mergeCell ref="A3:B4"/>
    <mergeCell ref="AI3:AI4"/>
    <mergeCell ref="AJ3:AJ4"/>
    <mergeCell ref="AK3:AK4"/>
    <mergeCell ref="A18:C18"/>
    <mergeCell ref="D18:AJ18"/>
    <mergeCell ref="A5:A16"/>
    <mergeCell ref="B5:B11"/>
    <mergeCell ref="B12:B15"/>
    <mergeCell ref="B16:C16"/>
    <mergeCell ref="A17:C17"/>
    <mergeCell ref="D17:AJ17"/>
    <mergeCell ref="D16:J16"/>
    <mergeCell ref="K16:Q16"/>
    <mergeCell ref="R16:X16"/>
    <mergeCell ref="Y16:AE16"/>
    <mergeCell ref="AF16:AG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8"/>
  <sheetViews>
    <sheetView zoomScale="80" zoomScaleNormal="80" workbookViewId="0">
      <selection activeCell="H22" sqref="H22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1.71093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75" customHeight="1" x14ac:dyDescent="0.3">
      <c r="A1" s="91"/>
      <c r="B1" s="91"/>
      <c r="C1" s="92"/>
      <c r="D1" s="41" t="s">
        <v>7</v>
      </c>
      <c r="E1" s="41" t="s">
        <v>6</v>
      </c>
      <c r="F1" s="41" t="s">
        <v>5</v>
      </c>
      <c r="G1" s="42" t="s">
        <v>4</v>
      </c>
      <c r="H1" s="40" t="s">
        <v>29</v>
      </c>
      <c r="I1" s="41" t="s">
        <v>9</v>
      </c>
      <c r="J1" s="41" t="s">
        <v>8</v>
      </c>
      <c r="K1" s="41" t="s">
        <v>7</v>
      </c>
      <c r="L1" s="42" t="s">
        <v>6</v>
      </c>
      <c r="M1" s="40" t="s">
        <v>5</v>
      </c>
      <c r="N1" s="41" t="s">
        <v>4</v>
      </c>
      <c r="O1" s="81" t="s">
        <v>29</v>
      </c>
      <c r="P1" s="41" t="s">
        <v>9</v>
      </c>
      <c r="Q1" s="41" t="s">
        <v>8</v>
      </c>
      <c r="R1" s="41" t="s">
        <v>7</v>
      </c>
      <c r="S1" s="42" t="s">
        <v>6</v>
      </c>
      <c r="T1" s="40" t="s">
        <v>5</v>
      </c>
      <c r="U1" s="41" t="s">
        <v>4</v>
      </c>
      <c r="V1" s="81" t="s">
        <v>29</v>
      </c>
      <c r="W1" s="41" t="s">
        <v>9</v>
      </c>
      <c r="X1" s="41" t="s">
        <v>8</v>
      </c>
      <c r="Y1" s="41" t="s">
        <v>7</v>
      </c>
      <c r="Z1" s="42" t="s">
        <v>6</v>
      </c>
      <c r="AA1" s="40" t="s">
        <v>5</v>
      </c>
      <c r="AB1" s="41" t="s">
        <v>4</v>
      </c>
      <c r="AC1" s="81" t="s">
        <v>29</v>
      </c>
      <c r="AD1" s="41" t="s">
        <v>9</v>
      </c>
      <c r="AE1" s="41" t="s">
        <v>8</v>
      </c>
      <c r="AF1" s="41" t="s">
        <v>7</v>
      </c>
      <c r="AG1" s="42" t="s">
        <v>6</v>
      </c>
      <c r="AH1" s="40" t="s">
        <v>5</v>
      </c>
      <c r="AI1" s="105" t="s">
        <v>31</v>
      </c>
      <c r="AJ1" s="95" t="s">
        <v>30</v>
      </c>
      <c r="AK1" s="97" t="s">
        <v>10</v>
      </c>
    </row>
    <row r="2" spans="1:37" x14ac:dyDescent="0.3">
      <c r="A2" s="93"/>
      <c r="B2" s="93"/>
      <c r="C2" s="94"/>
      <c r="D2" s="13">
        <v>1</v>
      </c>
      <c r="E2" s="14">
        <v>2</v>
      </c>
      <c r="F2" s="14">
        <v>3</v>
      </c>
      <c r="G2" s="14">
        <v>4</v>
      </c>
      <c r="H2" s="14">
        <v>5</v>
      </c>
      <c r="I2" s="14">
        <v>6</v>
      </c>
      <c r="J2" s="15">
        <v>7</v>
      </c>
      <c r="K2" s="14">
        <v>8</v>
      </c>
      <c r="L2" s="14">
        <v>9</v>
      </c>
      <c r="M2" s="14">
        <v>10</v>
      </c>
      <c r="N2" s="14">
        <v>11</v>
      </c>
      <c r="O2" s="14">
        <v>12</v>
      </c>
      <c r="P2" s="14">
        <v>13</v>
      </c>
      <c r="Q2" s="14">
        <v>14</v>
      </c>
      <c r="R2" s="14">
        <v>15</v>
      </c>
      <c r="S2" s="14">
        <v>16</v>
      </c>
      <c r="T2" s="14">
        <v>17</v>
      </c>
      <c r="U2" s="14">
        <v>18</v>
      </c>
      <c r="V2" s="14">
        <v>19</v>
      </c>
      <c r="W2" s="14">
        <v>20</v>
      </c>
      <c r="X2" s="14">
        <v>21</v>
      </c>
      <c r="Y2" s="14">
        <v>22</v>
      </c>
      <c r="Z2" s="14">
        <v>23</v>
      </c>
      <c r="AA2" s="14">
        <v>24</v>
      </c>
      <c r="AB2" s="14">
        <v>25</v>
      </c>
      <c r="AC2" s="13">
        <v>26</v>
      </c>
      <c r="AD2" s="14">
        <v>27</v>
      </c>
      <c r="AE2" s="15">
        <v>28</v>
      </c>
      <c r="AF2" s="14">
        <v>29</v>
      </c>
      <c r="AG2" s="15">
        <v>30</v>
      </c>
      <c r="AH2" s="14">
        <v>31</v>
      </c>
      <c r="AI2" s="106"/>
      <c r="AJ2" s="96"/>
      <c r="AK2" s="98"/>
    </row>
    <row r="3" spans="1:37" x14ac:dyDescent="0.3">
      <c r="A3" s="99" t="s">
        <v>28</v>
      </c>
      <c r="B3" s="100"/>
      <c r="C3" s="83" t="s">
        <v>0</v>
      </c>
      <c r="D3" s="17"/>
      <c r="E3" s="18"/>
      <c r="F3" s="18">
        <v>1200</v>
      </c>
      <c r="G3" s="18"/>
      <c r="H3" s="18"/>
      <c r="I3" s="21"/>
      <c r="J3" s="19"/>
      <c r="K3" s="18"/>
      <c r="L3" s="18"/>
      <c r="M3" s="18"/>
      <c r="N3" s="18"/>
      <c r="O3" s="18">
        <v>295</v>
      </c>
      <c r="P3" s="18"/>
      <c r="Q3" s="18"/>
      <c r="R3" s="18"/>
      <c r="S3" s="18"/>
      <c r="T3" s="18"/>
      <c r="U3" s="18"/>
      <c r="V3" s="18"/>
      <c r="W3" s="18"/>
      <c r="X3" s="18"/>
      <c r="Y3" s="18"/>
      <c r="Z3" s="18">
        <v>1430</v>
      </c>
      <c r="AA3" s="18"/>
      <c r="AB3" s="18"/>
      <c r="AC3" s="17"/>
      <c r="AD3" s="18"/>
      <c r="AE3" s="20">
        <v>1800</v>
      </c>
      <c r="AF3" s="18"/>
      <c r="AG3" s="20"/>
      <c r="AH3" s="18"/>
      <c r="AI3" s="107">
        <f>AJ3/31</f>
        <v>173.06451612903226</v>
      </c>
      <c r="AJ3" s="103">
        <f>SUM(D3,E3,F3,G3,H3,I3,J3,K3,L3,M3,N3,O3,P3,Q3,R3,S3,T3,U3,V3,W3,X3,Y3,Z3,AA3,AB3,AC3,AD3,AE3,AF3,AG3,AH3,D4,E4,F4,G4,H4,I4,J4,K4,L4,M4,N4,O4,P4,Q4,R4,S4,T4,U4,V4,W4,X4,Y4,Z4,AA4,AB4,AC4,AD4,AE4,AF4,AG4,AH4)</f>
        <v>5365</v>
      </c>
      <c r="AK3" s="103">
        <v>100</v>
      </c>
    </row>
    <row r="4" spans="1:37" x14ac:dyDescent="0.3">
      <c r="A4" s="101"/>
      <c r="B4" s="102"/>
      <c r="C4" s="84" t="s">
        <v>12</v>
      </c>
      <c r="D4" s="21"/>
      <c r="E4" s="21"/>
      <c r="F4" s="21">
        <v>50</v>
      </c>
      <c r="G4" s="21"/>
      <c r="H4" s="21"/>
      <c r="I4" s="21"/>
      <c r="J4" s="22">
        <v>60</v>
      </c>
      <c r="K4" s="21"/>
      <c r="L4" s="21"/>
      <c r="M4" s="21"/>
      <c r="N4" s="21">
        <v>20</v>
      </c>
      <c r="O4" s="21">
        <v>60</v>
      </c>
      <c r="P4" s="21"/>
      <c r="Q4" s="21"/>
      <c r="R4" s="21"/>
      <c r="S4" s="21"/>
      <c r="T4" s="21"/>
      <c r="U4" s="21"/>
      <c r="V4" s="21">
        <v>50</v>
      </c>
      <c r="W4" s="21"/>
      <c r="X4" s="21"/>
      <c r="Y4" s="21"/>
      <c r="Z4" s="21"/>
      <c r="AA4" s="21"/>
      <c r="AB4" s="21"/>
      <c r="AC4" s="23"/>
      <c r="AD4" s="21">
        <v>400</v>
      </c>
      <c r="AE4" s="22"/>
      <c r="AF4" s="21"/>
      <c r="AG4" s="22"/>
      <c r="AH4" s="21"/>
      <c r="AI4" s="108"/>
      <c r="AJ4" s="104"/>
      <c r="AK4" s="104"/>
    </row>
    <row r="5" spans="1:37" ht="18.75" customHeight="1" x14ac:dyDescent="0.3">
      <c r="A5" s="125" t="s">
        <v>27</v>
      </c>
      <c r="B5" s="115" t="s">
        <v>21</v>
      </c>
      <c r="C5" s="85" t="s">
        <v>13</v>
      </c>
      <c r="D5" s="24"/>
      <c r="E5" s="2">
        <v>21</v>
      </c>
      <c r="F5" s="2">
        <v>8</v>
      </c>
      <c r="G5" s="2"/>
      <c r="H5" s="2"/>
      <c r="I5" s="2"/>
      <c r="J5" s="25"/>
      <c r="K5" s="2">
        <v>6</v>
      </c>
      <c r="L5" s="2"/>
      <c r="M5" s="2"/>
      <c r="N5" s="2"/>
      <c r="O5" s="2">
        <v>10</v>
      </c>
      <c r="P5" s="2">
        <v>5</v>
      </c>
      <c r="Q5" s="2">
        <v>8</v>
      </c>
      <c r="R5" s="2">
        <v>44</v>
      </c>
      <c r="S5" s="2"/>
      <c r="T5" s="2">
        <v>2</v>
      </c>
      <c r="U5" s="2"/>
      <c r="V5" s="2"/>
      <c r="W5" s="2">
        <v>10</v>
      </c>
      <c r="X5" s="2"/>
      <c r="Y5" s="2"/>
      <c r="Z5" s="2">
        <v>32</v>
      </c>
      <c r="AA5" s="2"/>
      <c r="AB5" s="2"/>
      <c r="AC5" s="24">
        <v>15</v>
      </c>
      <c r="AD5" s="2">
        <v>6</v>
      </c>
      <c r="AE5" s="26">
        <v>14</v>
      </c>
      <c r="AF5" s="2">
        <v>5</v>
      </c>
      <c r="AG5" s="26"/>
      <c r="AH5" s="2">
        <v>6</v>
      </c>
      <c r="AI5" s="53">
        <f t="shared" ref="AI5:AI15" si="0">AJ5/31</f>
        <v>6.193548387096774</v>
      </c>
      <c r="AJ5" s="35">
        <f t="shared" ref="AJ5" si="1">SUM(D5,E5,F5,G5,H5,I5,J5,K5,L5,M5,N5,O5,P5,Q5,R5,S5,T5,U5,V5,W5,X5,Y5,Z5,AA5,AB5,AC5,AD5,AE5,AF5,AG5,AH5)</f>
        <v>192</v>
      </c>
      <c r="AK5" s="3">
        <f>(AJ5/AJ3)*100</f>
        <v>3.5787511649580614</v>
      </c>
    </row>
    <row r="6" spans="1:37" x14ac:dyDescent="0.3">
      <c r="A6" s="126"/>
      <c r="B6" s="115"/>
      <c r="C6" s="86" t="s">
        <v>1</v>
      </c>
      <c r="D6" s="4"/>
      <c r="E6" s="4"/>
      <c r="F6" s="4">
        <v>500</v>
      </c>
      <c r="G6" s="4"/>
      <c r="H6" s="4"/>
      <c r="I6" s="4"/>
      <c r="J6" s="27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28"/>
      <c r="AD6" s="4">
        <v>130</v>
      </c>
      <c r="AE6" s="27">
        <v>500</v>
      </c>
      <c r="AF6" s="4"/>
      <c r="AG6" s="27"/>
      <c r="AH6" s="4"/>
      <c r="AI6" s="54">
        <f t="shared" si="0"/>
        <v>36.451612903225808</v>
      </c>
      <c r="AJ6" s="36">
        <f>SUM(D6,E6,F6,G6,H6,I6,J6,K6,L6,M6,N6,O6,P6,Q6,R6,S6,T6,U6,V6,W6,X6,Y6,Z6,AA6,AB6,AC6,AD6,AE6,AF6,AG6,AH6)</f>
        <v>1130</v>
      </c>
      <c r="AK6" s="5">
        <f>(AJ6/AJ3)*100</f>
        <v>21.062441752096923</v>
      </c>
    </row>
    <row r="7" spans="1:37" x14ac:dyDescent="0.3">
      <c r="A7" s="126"/>
      <c r="B7" s="115"/>
      <c r="C7" s="86" t="s">
        <v>15</v>
      </c>
      <c r="D7" s="28"/>
      <c r="E7" s="4"/>
      <c r="F7" s="4"/>
      <c r="G7" s="4"/>
      <c r="H7" s="4"/>
      <c r="I7" s="4"/>
      <c r="J7" s="27"/>
      <c r="K7" s="4">
        <v>90</v>
      </c>
      <c r="L7" s="4"/>
      <c r="M7" s="4"/>
      <c r="N7" s="4"/>
      <c r="O7" s="4"/>
      <c r="P7" s="4">
        <v>65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8"/>
      <c r="AD7" s="4"/>
      <c r="AE7" s="27"/>
      <c r="AF7" s="4"/>
      <c r="AG7" s="27"/>
      <c r="AH7" s="4"/>
      <c r="AI7" s="54">
        <f t="shared" si="0"/>
        <v>5</v>
      </c>
      <c r="AJ7" s="36">
        <f>SUM(D7,E7,F7,G7,H7,I7,J7,K7,L7,M7,N7,O7,P7,Q7,R7,S7,T7,U7,V7,W7,X7,Y7,Z7,AA7,AB7,AC7,AD7,AE7,AF7,AG7,AH7)</f>
        <v>155</v>
      </c>
      <c r="AK7" s="5">
        <f>(AJ7/AJ3)*100</f>
        <v>2.8890959925442683</v>
      </c>
    </row>
    <row r="8" spans="1:37" x14ac:dyDescent="0.3">
      <c r="A8" s="126"/>
      <c r="B8" s="115"/>
      <c r="C8" s="87" t="s">
        <v>16</v>
      </c>
      <c r="D8" s="48"/>
      <c r="E8" s="49"/>
      <c r="F8" s="49">
        <v>7</v>
      </c>
      <c r="G8" s="49"/>
      <c r="H8" s="49"/>
      <c r="I8" s="49"/>
      <c r="J8" s="50"/>
      <c r="K8" s="49"/>
      <c r="L8" s="49"/>
      <c r="M8" s="49"/>
      <c r="N8" s="49"/>
      <c r="O8" s="49"/>
      <c r="P8" s="49"/>
      <c r="Q8" s="49">
        <v>3</v>
      </c>
      <c r="R8" s="49"/>
      <c r="S8" s="49"/>
      <c r="T8" s="49"/>
      <c r="U8" s="49"/>
      <c r="V8" s="49"/>
      <c r="W8" s="49">
        <v>11</v>
      </c>
      <c r="X8" s="49"/>
      <c r="Y8" s="49"/>
      <c r="Z8" s="49"/>
      <c r="AA8" s="49"/>
      <c r="AB8" s="49"/>
      <c r="AC8" s="48"/>
      <c r="AD8" s="49"/>
      <c r="AE8" s="50"/>
      <c r="AF8" s="49"/>
      <c r="AG8" s="50"/>
      <c r="AH8" s="49"/>
      <c r="AI8" s="57">
        <f t="shared" si="0"/>
        <v>0.67741935483870963</v>
      </c>
      <c r="AJ8" s="51">
        <f>SUM(D8,E8,F8,G8,H8,I8,J8,K8,L8,M8,N8,O8,P8,Q8,R8,S8,T8,U8,V8,W8,X8,Y8,Z8,AA8,AB8,AC8,AD8,AE8,AF8,AG8,AH8)</f>
        <v>21</v>
      </c>
      <c r="AK8" s="52">
        <f>(AJ8/AJ3)*100</f>
        <v>0.39142590866728794</v>
      </c>
    </row>
    <row r="9" spans="1:37" x14ac:dyDescent="0.3">
      <c r="A9" s="126"/>
      <c r="B9" s="115"/>
      <c r="C9" s="86" t="s">
        <v>14</v>
      </c>
      <c r="D9" s="24">
        <v>8</v>
      </c>
      <c r="E9" s="2">
        <v>7</v>
      </c>
      <c r="F9" s="2">
        <v>24</v>
      </c>
      <c r="G9" s="2"/>
      <c r="H9" s="2"/>
      <c r="I9" s="2"/>
      <c r="J9" s="25">
        <v>20</v>
      </c>
      <c r="K9" s="2">
        <v>4</v>
      </c>
      <c r="L9" s="2"/>
      <c r="M9" s="2">
        <v>36</v>
      </c>
      <c r="N9" s="2"/>
      <c r="O9" s="2">
        <v>20</v>
      </c>
      <c r="P9" s="2">
        <v>10</v>
      </c>
      <c r="Q9" s="2"/>
      <c r="R9" s="2">
        <v>12</v>
      </c>
      <c r="S9" s="2"/>
      <c r="T9" s="2"/>
      <c r="U9" s="2">
        <v>23</v>
      </c>
      <c r="V9" s="2">
        <v>46</v>
      </c>
      <c r="W9" s="2">
        <v>10</v>
      </c>
      <c r="X9" s="2"/>
      <c r="Y9" s="2"/>
      <c r="Z9" s="2"/>
      <c r="AA9" s="2">
        <v>8</v>
      </c>
      <c r="AB9" s="2">
        <v>40</v>
      </c>
      <c r="AC9" s="24">
        <v>9</v>
      </c>
      <c r="AD9" s="2"/>
      <c r="AE9" s="26">
        <v>10</v>
      </c>
      <c r="AF9" s="2"/>
      <c r="AG9" s="26"/>
      <c r="AH9" s="2">
        <v>24</v>
      </c>
      <c r="AI9" s="53">
        <f t="shared" si="0"/>
        <v>10.03225806451613</v>
      </c>
      <c r="AJ9" s="35">
        <f>SUM(D9,E9,F9,G9,H9,I9,J9,K9,L9,M9,N9,O9,P9,Q9,R9,S9,T9,U9,V9,W9,X9,Y9,Z9,AA9,AB9,AC9,AD9,AE9,AF9,AG9,AH9)</f>
        <v>311</v>
      </c>
      <c r="AK9" s="3">
        <f>(AJ9/AJ3)*100</f>
        <v>5.7968313140726933</v>
      </c>
    </row>
    <row r="10" spans="1:37" x14ac:dyDescent="0.3">
      <c r="A10" s="126"/>
      <c r="B10" s="115"/>
      <c r="C10" s="86" t="s">
        <v>17</v>
      </c>
      <c r="D10" s="4"/>
      <c r="E10" s="4"/>
      <c r="F10" s="4">
        <v>480</v>
      </c>
      <c r="G10" s="4"/>
      <c r="H10" s="4"/>
      <c r="I10" s="4"/>
      <c r="J10" s="27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8"/>
      <c r="AD10" s="4"/>
      <c r="AE10" s="27">
        <v>250</v>
      </c>
      <c r="AF10" s="4"/>
      <c r="AG10" s="27"/>
      <c r="AH10" s="4"/>
      <c r="AI10" s="54">
        <f t="shared" si="0"/>
        <v>23.548387096774192</v>
      </c>
      <c r="AJ10" s="36">
        <v>730</v>
      </c>
      <c r="AK10" s="5">
        <f>(AJ10/AJ3)*100</f>
        <v>13.606710158434296</v>
      </c>
    </row>
    <row r="11" spans="1:37" x14ac:dyDescent="0.3">
      <c r="A11" s="126"/>
      <c r="B11" s="115"/>
      <c r="C11" s="86" t="s">
        <v>18</v>
      </c>
      <c r="D11" s="24">
        <v>400</v>
      </c>
      <c r="E11" s="2"/>
      <c r="F11" s="2"/>
      <c r="G11" s="2"/>
      <c r="H11" s="2"/>
      <c r="I11" s="2"/>
      <c r="J11" s="2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>
        <v>15</v>
      </c>
      <c r="W11" s="2"/>
      <c r="X11" s="2">
        <v>116</v>
      </c>
      <c r="Y11" s="2"/>
      <c r="Z11" s="2">
        <v>34</v>
      </c>
      <c r="AA11" s="2"/>
      <c r="AB11" s="2"/>
      <c r="AC11" s="24"/>
      <c r="AD11" s="2"/>
      <c r="AE11" s="26">
        <v>15</v>
      </c>
      <c r="AF11" s="2"/>
      <c r="AG11" s="26"/>
      <c r="AH11" s="2"/>
      <c r="AI11" s="53">
        <f t="shared" si="0"/>
        <v>18.70967741935484</v>
      </c>
      <c r="AJ11" s="35">
        <v>580</v>
      </c>
      <c r="AK11" s="3">
        <f>(AJ11/AJ3)*100</f>
        <v>10.810810810810811</v>
      </c>
    </row>
    <row r="12" spans="1:37" ht="18.75" customHeight="1" x14ac:dyDescent="0.3">
      <c r="A12" s="126"/>
      <c r="B12" s="140" t="s">
        <v>22</v>
      </c>
      <c r="C12" s="88" t="s">
        <v>2</v>
      </c>
      <c r="D12" s="6"/>
      <c r="E12" s="6"/>
      <c r="F12" s="6">
        <v>35</v>
      </c>
      <c r="G12" s="6"/>
      <c r="H12" s="6"/>
      <c r="I12" s="6">
        <v>10</v>
      </c>
      <c r="J12" s="29"/>
      <c r="K12" s="6"/>
      <c r="L12" s="6"/>
      <c r="M12" s="6">
        <v>20</v>
      </c>
      <c r="N12" s="6">
        <v>15</v>
      </c>
      <c r="O12" s="6">
        <v>24</v>
      </c>
      <c r="P12" s="6"/>
      <c r="Q12" s="6"/>
      <c r="R12" s="6">
        <v>12</v>
      </c>
      <c r="S12" s="6"/>
      <c r="T12" s="6">
        <v>12</v>
      </c>
      <c r="U12" s="6">
        <v>20</v>
      </c>
      <c r="V12" s="6">
        <v>15</v>
      </c>
      <c r="W12" s="6"/>
      <c r="X12" s="6"/>
      <c r="Y12" s="6"/>
      <c r="Z12" s="6"/>
      <c r="AA12" s="6">
        <v>40</v>
      </c>
      <c r="AB12" s="6"/>
      <c r="AC12" s="30"/>
      <c r="AD12" s="6"/>
      <c r="AE12" s="29"/>
      <c r="AF12" s="6"/>
      <c r="AG12" s="29"/>
      <c r="AH12" s="6">
        <v>33</v>
      </c>
      <c r="AI12" s="55">
        <f t="shared" si="0"/>
        <v>7.612903225806452</v>
      </c>
      <c r="AJ12" s="37">
        <v>236</v>
      </c>
      <c r="AK12" s="7">
        <f>(AJ12/AJ3)*100</f>
        <v>4.3988816402609512</v>
      </c>
    </row>
    <row r="13" spans="1:37" ht="18" customHeight="1" x14ac:dyDescent="0.3">
      <c r="A13" s="126"/>
      <c r="B13" s="141"/>
      <c r="C13" s="88" t="s">
        <v>32</v>
      </c>
      <c r="D13" s="31"/>
      <c r="E13" s="8"/>
      <c r="F13" s="8"/>
      <c r="G13" s="8"/>
      <c r="H13" s="8"/>
      <c r="I13" s="8"/>
      <c r="J13" s="32"/>
      <c r="K13" s="8"/>
      <c r="L13" s="8"/>
      <c r="M13" s="8"/>
      <c r="N13" s="8"/>
      <c r="O13" s="8"/>
      <c r="P13" s="8"/>
      <c r="Q13" s="8"/>
      <c r="R13" s="8">
        <v>8</v>
      </c>
      <c r="S13" s="8"/>
      <c r="T13" s="8"/>
      <c r="U13" s="8"/>
      <c r="V13" s="8"/>
      <c r="W13" s="8"/>
      <c r="X13" s="8"/>
      <c r="Y13" s="8"/>
      <c r="Z13" s="8">
        <v>20</v>
      </c>
      <c r="AA13" s="8">
        <v>20</v>
      </c>
      <c r="AB13" s="8"/>
      <c r="AC13" s="31"/>
      <c r="AD13" s="8"/>
      <c r="AE13" s="33"/>
      <c r="AF13" s="8"/>
      <c r="AG13" s="33"/>
      <c r="AH13" s="8">
        <v>25</v>
      </c>
      <c r="AI13" s="56">
        <f t="shared" si="0"/>
        <v>2.3548387096774195</v>
      </c>
      <c r="AJ13" s="38">
        <v>73</v>
      </c>
      <c r="AK13" s="9">
        <f>(AJ13/AJ3)*100</f>
        <v>1.3606710158434296</v>
      </c>
    </row>
    <row r="14" spans="1:37" ht="16.5" customHeight="1" x14ac:dyDescent="0.3">
      <c r="A14" s="126"/>
      <c r="B14" s="141"/>
      <c r="C14" s="82" t="s">
        <v>19</v>
      </c>
      <c r="D14" s="6"/>
      <c r="E14" s="6"/>
      <c r="F14" s="6"/>
      <c r="G14" s="6"/>
      <c r="H14" s="6"/>
      <c r="I14" s="6"/>
      <c r="J14" s="29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30"/>
      <c r="AD14" s="6"/>
      <c r="AE14" s="29"/>
      <c r="AF14" s="6"/>
      <c r="AG14" s="29"/>
      <c r="AH14" s="6"/>
      <c r="AI14" s="55">
        <f t="shared" si="0"/>
        <v>0</v>
      </c>
      <c r="AJ14" s="37">
        <v>0</v>
      </c>
      <c r="AK14" s="7">
        <f>(AJ14/AJ3)*100</f>
        <v>0</v>
      </c>
    </row>
    <row r="15" spans="1:37" x14ac:dyDescent="0.3">
      <c r="A15" s="126"/>
      <c r="B15" s="142"/>
      <c r="C15" s="88" t="s">
        <v>20</v>
      </c>
      <c r="D15" s="6"/>
      <c r="E15" s="6"/>
      <c r="F15" s="6">
        <v>30</v>
      </c>
      <c r="G15" s="6"/>
      <c r="H15" s="6"/>
      <c r="I15" s="6">
        <v>30</v>
      </c>
      <c r="J15" s="29"/>
      <c r="K15" s="6"/>
      <c r="L15" s="6"/>
      <c r="M15" s="6">
        <v>15</v>
      </c>
      <c r="N15" s="6">
        <v>40</v>
      </c>
      <c r="O15" s="6"/>
      <c r="P15" s="6"/>
      <c r="Q15" s="6"/>
      <c r="R15" s="6">
        <v>50</v>
      </c>
      <c r="S15" s="6"/>
      <c r="T15" s="6"/>
      <c r="U15" s="6">
        <v>30</v>
      </c>
      <c r="V15" s="6">
        <v>35</v>
      </c>
      <c r="W15" s="6"/>
      <c r="X15" s="6"/>
      <c r="Y15" s="6"/>
      <c r="Z15" s="6"/>
      <c r="AA15" s="6">
        <v>50</v>
      </c>
      <c r="AB15" s="6">
        <v>35</v>
      </c>
      <c r="AC15" s="30"/>
      <c r="AD15" s="6"/>
      <c r="AE15" s="29"/>
      <c r="AF15" s="6"/>
      <c r="AG15" s="29"/>
      <c r="AH15" s="6">
        <v>30</v>
      </c>
      <c r="AI15" s="55">
        <f t="shared" si="0"/>
        <v>11.129032258064516</v>
      </c>
      <c r="AJ15" s="37">
        <v>345</v>
      </c>
      <c r="AK15" s="7">
        <f>(AJ15/AJ3)*100</f>
        <v>6.4305684995340169</v>
      </c>
    </row>
    <row r="16" spans="1:37" x14ac:dyDescent="0.3">
      <c r="A16" s="127"/>
      <c r="B16" s="119" t="s">
        <v>23</v>
      </c>
      <c r="C16" s="120"/>
      <c r="D16" s="128">
        <f>SUM(D5:H15)+56</f>
        <v>1576</v>
      </c>
      <c r="E16" s="129"/>
      <c r="F16" s="129"/>
      <c r="G16" s="129"/>
      <c r="H16" s="130"/>
      <c r="I16" s="128">
        <f>SUM(I5:O15)</f>
        <v>340</v>
      </c>
      <c r="J16" s="129"/>
      <c r="K16" s="129"/>
      <c r="L16" s="129"/>
      <c r="M16" s="129"/>
      <c r="N16" s="129"/>
      <c r="O16" s="130"/>
      <c r="P16" s="128">
        <f>SUM(P5:V15)</f>
        <v>415</v>
      </c>
      <c r="Q16" s="129"/>
      <c r="R16" s="129"/>
      <c r="S16" s="129"/>
      <c r="T16" s="129"/>
      <c r="U16" s="129"/>
      <c r="V16" s="130"/>
      <c r="W16" s="128">
        <f>SUM(W5:AC15)</f>
        <v>450</v>
      </c>
      <c r="X16" s="129"/>
      <c r="Y16" s="129"/>
      <c r="Z16" s="129"/>
      <c r="AA16" s="129"/>
      <c r="AB16" s="129"/>
      <c r="AC16" s="130"/>
      <c r="AD16" s="128">
        <f>SUM(AD5:AH15)</f>
        <v>1048</v>
      </c>
      <c r="AE16" s="129"/>
      <c r="AF16" s="129"/>
      <c r="AG16" s="129"/>
      <c r="AH16" s="130"/>
      <c r="AI16" s="65">
        <f>AJ16/31</f>
        <v>121.70967741935483</v>
      </c>
      <c r="AJ16" s="64">
        <f>SUM(AJ5,AJ6,AJ7,AJ8,AJ9,AJ10,AJ11,AJ12,AJ13,AJ14,AJ15)</f>
        <v>3773</v>
      </c>
      <c r="AK16" s="10">
        <f>SUM(AK5,AK6,AK7,AK8,AK9,AK10,AK11,AK12,AK13,AK14,AK15)</f>
        <v>70.326188257222725</v>
      </c>
    </row>
    <row r="17" spans="1:37" x14ac:dyDescent="0.3">
      <c r="A17" s="121" t="s">
        <v>11</v>
      </c>
      <c r="B17" s="121"/>
      <c r="C17" s="122"/>
      <c r="D17" s="123">
        <v>1393</v>
      </c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2"/>
      <c r="AK17" s="59"/>
    </row>
    <row r="18" spans="1:37" x14ac:dyDescent="0.3">
      <c r="A18" s="109" t="s">
        <v>24</v>
      </c>
      <c r="B18" s="109"/>
      <c r="C18" s="110"/>
      <c r="D18" s="111">
        <f>(AJ3+D17)-AJ16</f>
        <v>2985</v>
      </c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2"/>
      <c r="AK18" s="34">
        <f>((AJ3-AJ16)/AJ3)*100</f>
        <v>29.673811742777261</v>
      </c>
    </row>
  </sheetData>
  <mergeCells count="21">
    <mergeCell ref="A1:C2"/>
    <mergeCell ref="AI1:AI2"/>
    <mergeCell ref="AJ1:AJ2"/>
    <mergeCell ref="AK1:AK2"/>
    <mergeCell ref="A3:B4"/>
    <mergeCell ref="AI3:AI4"/>
    <mergeCell ref="AJ3:AJ4"/>
    <mergeCell ref="AK3:AK4"/>
    <mergeCell ref="A18:C18"/>
    <mergeCell ref="D18:AJ18"/>
    <mergeCell ref="A5:A16"/>
    <mergeCell ref="B5:B11"/>
    <mergeCell ref="B12:B15"/>
    <mergeCell ref="B16:C16"/>
    <mergeCell ref="A17:C17"/>
    <mergeCell ref="D17:AJ17"/>
    <mergeCell ref="D16:H16"/>
    <mergeCell ref="I16:O16"/>
    <mergeCell ref="P16:V16"/>
    <mergeCell ref="W16:AC16"/>
    <mergeCell ref="AD16:AH1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18"/>
  <sheetViews>
    <sheetView zoomScale="80" zoomScaleNormal="80" workbookViewId="0">
      <selection activeCell="B12" sqref="B12:B15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2.14062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75" customHeight="1" x14ac:dyDescent="0.3">
      <c r="A1" s="91"/>
      <c r="B1" s="91"/>
      <c r="C1" s="92"/>
      <c r="D1" s="42" t="s">
        <v>4</v>
      </c>
      <c r="E1" s="40" t="s">
        <v>29</v>
      </c>
      <c r="F1" s="41" t="s">
        <v>9</v>
      </c>
      <c r="G1" s="41" t="s">
        <v>8</v>
      </c>
      <c r="H1" s="41" t="s">
        <v>7</v>
      </c>
      <c r="I1" s="42" t="s">
        <v>6</v>
      </c>
      <c r="J1" s="40" t="s">
        <v>5</v>
      </c>
      <c r="K1" s="41" t="s">
        <v>4</v>
      </c>
      <c r="L1" s="81" t="s">
        <v>29</v>
      </c>
      <c r="M1" s="41" t="s">
        <v>9</v>
      </c>
      <c r="N1" s="41" t="s">
        <v>8</v>
      </c>
      <c r="O1" s="41" t="s">
        <v>7</v>
      </c>
      <c r="P1" s="42" t="s">
        <v>6</v>
      </c>
      <c r="Q1" s="40" t="s">
        <v>5</v>
      </c>
      <c r="R1" s="41" t="s">
        <v>4</v>
      </c>
      <c r="S1" s="81" t="s">
        <v>29</v>
      </c>
      <c r="T1" s="41" t="s">
        <v>9</v>
      </c>
      <c r="U1" s="41" t="s">
        <v>8</v>
      </c>
      <c r="V1" s="41" t="s">
        <v>7</v>
      </c>
      <c r="W1" s="42" t="s">
        <v>6</v>
      </c>
      <c r="X1" s="40" t="s">
        <v>5</v>
      </c>
      <c r="Y1" s="41" t="s">
        <v>4</v>
      </c>
      <c r="Z1" s="81" t="s">
        <v>29</v>
      </c>
      <c r="AA1" s="41" t="s">
        <v>9</v>
      </c>
      <c r="AB1" s="41" t="s">
        <v>8</v>
      </c>
      <c r="AC1" s="41" t="s">
        <v>7</v>
      </c>
      <c r="AD1" s="42" t="s">
        <v>6</v>
      </c>
      <c r="AE1" s="40" t="s">
        <v>5</v>
      </c>
      <c r="AF1" s="41" t="s">
        <v>4</v>
      </c>
      <c r="AG1" s="81" t="s">
        <v>29</v>
      </c>
      <c r="AH1" s="40"/>
      <c r="AI1" s="105" t="s">
        <v>31</v>
      </c>
      <c r="AJ1" s="95" t="s">
        <v>30</v>
      </c>
      <c r="AK1" s="97" t="s">
        <v>10</v>
      </c>
    </row>
    <row r="2" spans="1:37" x14ac:dyDescent="0.3">
      <c r="A2" s="93"/>
      <c r="B2" s="93"/>
      <c r="C2" s="94"/>
      <c r="D2" s="13">
        <v>1</v>
      </c>
      <c r="E2" s="14">
        <v>2</v>
      </c>
      <c r="F2" s="14">
        <v>3</v>
      </c>
      <c r="G2" s="14">
        <v>4</v>
      </c>
      <c r="H2" s="14">
        <v>5</v>
      </c>
      <c r="I2" s="14">
        <v>6</v>
      </c>
      <c r="J2" s="15">
        <v>7</v>
      </c>
      <c r="K2" s="14">
        <v>8</v>
      </c>
      <c r="L2" s="14">
        <v>9</v>
      </c>
      <c r="M2" s="14">
        <v>10</v>
      </c>
      <c r="N2" s="14">
        <v>11</v>
      </c>
      <c r="O2" s="14">
        <v>12</v>
      </c>
      <c r="P2" s="14">
        <v>13</v>
      </c>
      <c r="Q2" s="14">
        <v>14</v>
      </c>
      <c r="R2" s="14">
        <v>15</v>
      </c>
      <c r="S2" s="14">
        <v>16</v>
      </c>
      <c r="T2" s="14">
        <v>17</v>
      </c>
      <c r="U2" s="14">
        <v>18</v>
      </c>
      <c r="V2" s="14">
        <v>19</v>
      </c>
      <c r="W2" s="14">
        <v>20</v>
      </c>
      <c r="X2" s="14">
        <v>21</v>
      </c>
      <c r="Y2" s="14">
        <v>22</v>
      </c>
      <c r="Z2" s="14">
        <v>23</v>
      </c>
      <c r="AA2" s="14">
        <v>24</v>
      </c>
      <c r="AB2" s="14">
        <v>25</v>
      </c>
      <c r="AC2" s="13">
        <v>26</v>
      </c>
      <c r="AD2" s="14">
        <v>27</v>
      </c>
      <c r="AE2" s="15">
        <v>28</v>
      </c>
      <c r="AF2" s="14">
        <v>29</v>
      </c>
      <c r="AG2" s="15">
        <v>30</v>
      </c>
      <c r="AH2" s="14">
        <v>31</v>
      </c>
      <c r="AI2" s="106"/>
      <c r="AJ2" s="96"/>
      <c r="AK2" s="98"/>
    </row>
    <row r="3" spans="1:37" x14ac:dyDescent="0.3">
      <c r="A3" s="99" t="s">
        <v>28</v>
      </c>
      <c r="B3" s="100"/>
      <c r="C3" s="83" t="s">
        <v>0</v>
      </c>
      <c r="D3" s="17"/>
      <c r="E3" s="18"/>
      <c r="F3" s="18"/>
      <c r="G3" s="18"/>
      <c r="H3" s="18"/>
      <c r="I3" s="21"/>
      <c r="J3" s="19"/>
      <c r="K3" s="18">
        <v>1336</v>
      </c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>
        <v>1470</v>
      </c>
      <c r="AA3" s="18"/>
      <c r="AB3" s="18"/>
      <c r="AC3" s="17"/>
      <c r="AD3" s="18"/>
      <c r="AE3" s="20"/>
      <c r="AF3" s="18"/>
      <c r="AG3" s="20"/>
      <c r="AH3" s="18"/>
      <c r="AI3" s="107">
        <f>AJ3/30</f>
        <v>127.53333333333333</v>
      </c>
      <c r="AJ3" s="103">
        <f>SUM(D3,E3,F3,G3,H3,I3,J3,K3,L3,M3,N3,O3,P3,Q3,R3,S3,T3,U3,V3,W3,X3,Y3,Z3,AA3,AB3,AC3,AD3,AE3,AF3,AG3,AH3,D4,E4,F4,G4,H4,I4,J4,K4,L4,M4,N4,O4,P4,Q4,R4,S4,T4,U4,V4,W4,X4,Y4,Z4,AA4,AB4,AC4,AD4,AE4,AF4,AG4,AH4)</f>
        <v>3826</v>
      </c>
      <c r="AK3" s="103">
        <v>100</v>
      </c>
    </row>
    <row r="4" spans="1:37" x14ac:dyDescent="0.3">
      <c r="A4" s="101"/>
      <c r="B4" s="102"/>
      <c r="C4" s="84" t="s">
        <v>12</v>
      </c>
      <c r="D4" s="21"/>
      <c r="E4" s="21">
        <v>20</v>
      </c>
      <c r="F4" s="21"/>
      <c r="G4" s="21"/>
      <c r="H4" s="21"/>
      <c r="I4" s="21"/>
      <c r="J4" s="22"/>
      <c r="K4" s="21"/>
      <c r="L4" s="21">
        <v>1000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3"/>
      <c r="AD4" s="21"/>
      <c r="AE4" s="22"/>
      <c r="AF4" s="21"/>
      <c r="AG4" s="22"/>
      <c r="AH4" s="21"/>
      <c r="AI4" s="108"/>
      <c r="AJ4" s="104"/>
      <c r="AK4" s="104"/>
    </row>
    <row r="5" spans="1:37" ht="18.75" customHeight="1" x14ac:dyDescent="0.3">
      <c r="A5" s="125" t="s">
        <v>27</v>
      </c>
      <c r="B5" s="115" t="s">
        <v>21</v>
      </c>
      <c r="C5" s="85" t="s">
        <v>13</v>
      </c>
      <c r="D5" s="24"/>
      <c r="E5" s="2"/>
      <c r="F5" s="2">
        <v>10</v>
      </c>
      <c r="G5" s="2">
        <v>24</v>
      </c>
      <c r="H5" s="2">
        <v>45</v>
      </c>
      <c r="I5" s="2"/>
      <c r="J5" s="25">
        <v>34</v>
      </c>
      <c r="K5" s="2"/>
      <c r="L5" s="2"/>
      <c r="M5" s="2">
        <v>100</v>
      </c>
      <c r="N5" s="2">
        <v>129</v>
      </c>
      <c r="O5" s="2">
        <v>52</v>
      </c>
      <c r="P5" s="2">
        <v>33</v>
      </c>
      <c r="Q5" s="2">
        <v>31</v>
      </c>
      <c r="R5" s="2">
        <v>38</v>
      </c>
      <c r="S5" s="2">
        <v>17</v>
      </c>
      <c r="T5" s="2">
        <v>67</v>
      </c>
      <c r="U5" s="2">
        <v>38</v>
      </c>
      <c r="V5" s="2">
        <v>108</v>
      </c>
      <c r="W5" s="2">
        <v>31</v>
      </c>
      <c r="X5" s="2">
        <v>31</v>
      </c>
      <c r="Y5" s="2">
        <v>22</v>
      </c>
      <c r="Z5" s="2">
        <v>37</v>
      </c>
      <c r="AA5" s="2">
        <v>3</v>
      </c>
      <c r="AB5" s="2">
        <v>124</v>
      </c>
      <c r="AC5" s="24">
        <v>27</v>
      </c>
      <c r="AD5" s="2">
        <v>33</v>
      </c>
      <c r="AE5" s="26">
        <v>40</v>
      </c>
      <c r="AF5" s="2">
        <v>117</v>
      </c>
      <c r="AG5" s="26">
        <v>23</v>
      </c>
      <c r="AH5" s="2"/>
      <c r="AI5" s="53">
        <f t="shared" ref="AI5:AI15" si="0">AJ5/30</f>
        <v>40.466666666666669</v>
      </c>
      <c r="AJ5" s="35">
        <f t="shared" ref="AJ5" si="1">SUM(D5,E5,F5,G5,H5,I5,J5,K5,L5,M5,N5,O5,P5,Q5,R5,S5,T5,U5,V5,W5,X5,Y5,Z5,AA5,AB5,AC5,AD5,AE5,AF5,AG5,AH5)</f>
        <v>1214</v>
      </c>
      <c r="AK5" s="3">
        <f>(AJ5/AJ3)*100</f>
        <v>31.730266596968114</v>
      </c>
    </row>
    <row r="6" spans="1:37" x14ac:dyDescent="0.3">
      <c r="A6" s="126"/>
      <c r="B6" s="115"/>
      <c r="C6" s="86" t="s">
        <v>1</v>
      </c>
      <c r="D6" s="4"/>
      <c r="E6" s="4"/>
      <c r="F6" s="4"/>
      <c r="G6" s="4"/>
      <c r="H6" s="4"/>
      <c r="I6" s="4"/>
      <c r="J6" s="27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28"/>
      <c r="AD6" s="4"/>
      <c r="AE6" s="27"/>
      <c r="AF6" s="4"/>
      <c r="AG6" s="27"/>
      <c r="AH6" s="4"/>
      <c r="AI6" s="54">
        <f t="shared" si="0"/>
        <v>0</v>
      </c>
      <c r="AJ6" s="36">
        <f>SUM(D6,E6,F6,G6,H6,I6,J6,K6,L6,M6,N6,O6,P6,Q6,R6,S6,T6,U6,V6,W6,X6,Y6,Z6,AA6,AB6,AC6,AD6,AE6,AF6,AG6,AH6)</f>
        <v>0</v>
      </c>
      <c r="AK6" s="5">
        <f>(AJ6/AJ3)*100</f>
        <v>0</v>
      </c>
    </row>
    <row r="7" spans="1:37" x14ac:dyDescent="0.3">
      <c r="A7" s="126"/>
      <c r="B7" s="115"/>
      <c r="C7" s="86" t="s">
        <v>15</v>
      </c>
      <c r="D7" s="28"/>
      <c r="E7" s="4"/>
      <c r="F7" s="4"/>
      <c r="G7" s="4"/>
      <c r="H7" s="4"/>
      <c r="I7" s="4"/>
      <c r="J7" s="27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8"/>
      <c r="AD7" s="4"/>
      <c r="AE7" s="27"/>
      <c r="AF7" s="4"/>
      <c r="AG7" s="27"/>
      <c r="AH7" s="4"/>
      <c r="AI7" s="54">
        <f t="shared" si="0"/>
        <v>0</v>
      </c>
      <c r="AJ7" s="36">
        <f>SUM(D7,E7,F7,G7,H7,I7,J7,K7,L7,M7,N7,O7,P7,Q7,R7,S7,T7,U7,V7,W7,X7,Y7,Z7,AA7,AB7,AC7,AD7,AE7,AF7,AG7,AH7)</f>
        <v>0</v>
      </c>
      <c r="AK7" s="5">
        <f>(AJ7/AJ3)*100</f>
        <v>0</v>
      </c>
    </row>
    <row r="8" spans="1:37" x14ac:dyDescent="0.3">
      <c r="A8" s="126"/>
      <c r="B8" s="115"/>
      <c r="C8" s="87" t="s">
        <v>16</v>
      </c>
      <c r="D8" s="48"/>
      <c r="E8" s="49"/>
      <c r="F8" s="49"/>
      <c r="G8" s="49"/>
      <c r="H8" s="49"/>
      <c r="I8" s="49">
        <v>38</v>
      </c>
      <c r="J8" s="50"/>
      <c r="K8" s="49"/>
      <c r="L8" s="49"/>
      <c r="M8" s="49"/>
      <c r="N8" s="49"/>
      <c r="O8" s="49"/>
      <c r="P8" s="49"/>
      <c r="Q8" s="49">
        <v>7</v>
      </c>
      <c r="R8" s="49">
        <v>6</v>
      </c>
      <c r="S8" s="49"/>
      <c r="T8" s="49"/>
      <c r="U8" s="49"/>
      <c r="V8" s="49">
        <v>3</v>
      </c>
      <c r="W8" s="49"/>
      <c r="X8" s="49"/>
      <c r="Y8" s="49"/>
      <c r="Z8" s="49"/>
      <c r="AA8" s="49"/>
      <c r="AB8" s="49"/>
      <c r="AC8" s="48"/>
      <c r="AD8" s="49"/>
      <c r="AE8" s="50"/>
      <c r="AF8" s="49">
        <v>2</v>
      </c>
      <c r="AG8" s="50"/>
      <c r="AH8" s="49"/>
      <c r="AI8" s="57">
        <f t="shared" si="0"/>
        <v>1.8666666666666667</v>
      </c>
      <c r="AJ8" s="51">
        <f>SUM(D8,E8,F8,G8,H8,I8,J8,K8,L8,M8,N8,O8,P8,Q8,R8,S8,T8,U8,V8,W8,X8,Y8,Z8,AA8,AB8,AC8,AD8,AE8,AF8,AG8,AH8)</f>
        <v>56</v>
      </c>
      <c r="AK8" s="52">
        <f>(AJ8/AJ3)*100</f>
        <v>1.4636696288552014</v>
      </c>
    </row>
    <row r="9" spans="1:37" x14ac:dyDescent="0.3">
      <c r="A9" s="126"/>
      <c r="B9" s="115"/>
      <c r="C9" s="86" t="s">
        <v>14</v>
      </c>
      <c r="D9" s="24"/>
      <c r="E9" s="2">
        <v>20</v>
      </c>
      <c r="F9" s="2"/>
      <c r="G9" s="2"/>
      <c r="H9" s="2"/>
      <c r="I9" s="2"/>
      <c r="J9" s="25">
        <v>8</v>
      </c>
      <c r="K9" s="2">
        <v>24</v>
      </c>
      <c r="L9" s="2"/>
      <c r="M9" s="2">
        <v>10</v>
      </c>
      <c r="N9" s="2"/>
      <c r="O9" s="2">
        <v>10</v>
      </c>
      <c r="P9" s="2"/>
      <c r="Q9" s="2"/>
      <c r="R9" s="2"/>
      <c r="S9" s="2">
        <v>8</v>
      </c>
      <c r="T9" s="2"/>
      <c r="U9" s="2">
        <v>10</v>
      </c>
      <c r="V9" s="2"/>
      <c r="W9" s="2"/>
      <c r="X9" s="2">
        <v>5</v>
      </c>
      <c r="Y9" s="2">
        <v>2</v>
      </c>
      <c r="Z9" s="2">
        <v>12</v>
      </c>
      <c r="AA9" s="2">
        <v>33</v>
      </c>
      <c r="AB9" s="2"/>
      <c r="AC9" s="24"/>
      <c r="AD9" s="2">
        <v>12</v>
      </c>
      <c r="AE9" s="26"/>
      <c r="AF9" s="2">
        <v>10</v>
      </c>
      <c r="AG9" s="26"/>
      <c r="AH9" s="2"/>
      <c r="AI9" s="53">
        <f t="shared" si="0"/>
        <v>5.4666666666666668</v>
      </c>
      <c r="AJ9" s="35">
        <f>SUM(D9,E9,F9,G9,H9,I9,J9,K9,L9,M9,N9,O9,P9,Q9,R9,S9,T9,U9,V9,W9,X9,Y9,Z9,AA9,AB9,AC9,AD9,AE9,AF9,AG9,AH9)</f>
        <v>164</v>
      </c>
      <c r="AK9" s="3">
        <f>(AJ9/AJ3)*100</f>
        <v>4.2864610559330893</v>
      </c>
    </row>
    <row r="10" spans="1:37" x14ac:dyDescent="0.3">
      <c r="A10" s="126"/>
      <c r="B10" s="115"/>
      <c r="C10" s="86" t="s">
        <v>17</v>
      </c>
      <c r="D10" s="4"/>
      <c r="E10" s="4"/>
      <c r="F10" s="4"/>
      <c r="G10" s="4"/>
      <c r="H10" s="4"/>
      <c r="I10" s="4"/>
      <c r="J10" s="27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>
        <v>7</v>
      </c>
      <c r="Z10" s="4"/>
      <c r="AA10" s="4"/>
      <c r="AB10" s="4"/>
      <c r="AC10" s="28"/>
      <c r="AD10" s="4"/>
      <c r="AE10" s="27"/>
      <c r="AF10" s="4"/>
      <c r="AG10" s="27"/>
      <c r="AH10" s="4"/>
      <c r="AI10" s="54">
        <f t="shared" si="0"/>
        <v>0.23333333333333334</v>
      </c>
      <c r="AJ10" s="36">
        <v>7</v>
      </c>
      <c r="AK10" s="5">
        <f>(AJ10/AJ3)*100</f>
        <v>0.18295870360690017</v>
      </c>
    </row>
    <row r="11" spans="1:37" x14ac:dyDescent="0.3">
      <c r="A11" s="126"/>
      <c r="B11" s="115"/>
      <c r="C11" s="86" t="s">
        <v>18</v>
      </c>
      <c r="D11" s="24"/>
      <c r="E11" s="2"/>
      <c r="F11" s="2">
        <v>100</v>
      </c>
      <c r="G11" s="2"/>
      <c r="H11" s="2"/>
      <c r="I11" s="2"/>
      <c r="J11" s="25"/>
      <c r="K11" s="2"/>
      <c r="L11" s="2">
        <v>5</v>
      </c>
      <c r="M11" s="2"/>
      <c r="N11" s="2">
        <v>95</v>
      </c>
      <c r="O11" s="2"/>
      <c r="P11" s="2"/>
      <c r="Q11" s="2"/>
      <c r="R11" s="2"/>
      <c r="S11" s="2"/>
      <c r="T11" s="2"/>
      <c r="U11" s="2"/>
      <c r="V11" s="2"/>
      <c r="W11" s="2"/>
      <c r="X11" s="2">
        <v>85</v>
      </c>
      <c r="Y11" s="2"/>
      <c r="Z11" s="2"/>
      <c r="AA11" s="2"/>
      <c r="AB11" s="2"/>
      <c r="AC11" s="24"/>
      <c r="AD11" s="2"/>
      <c r="AE11" s="26">
        <v>85</v>
      </c>
      <c r="AF11" s="2"/>
      <c r="AG11" s="26"/>
      <c r="AH11" s="2"/>
      <c r="AI11" s="53">
        <f t="shared" si="0"/>
        <v>12.333333333333334</v>
      </c>
      <c r="AJ11" s="35">
        <v>370</v>
      </c>
      <c r="AK11" s="3">
        <f>(AJ11/AJ3)*100</f>
        <v>9.6706743335075807</v>
      </c>
    </row>
    <row r="12" spans="1:37" ht="18.75" customHeight="1" x14ac:dyDescent="0.3">
      <c r="A12" s="126"/>
      <c r="B12" s="140" t="s">
        <v>22</v>
      </c>
      <c r="C12" s="88" t="s">
        <v>2</v>
      </c>
      <c r="D12" s="6">
        <v>57</v>
      </c>
      <c r="E12" s="6">
        <v>20</v>
      </c>
      <c r="F12" s="6"/>
      <c r="G12" s="6"/>
      <c r="H12" s="6"/>
      <c r="I12" s="6">
        <v>40</v>
      </c>
      <c r="J12" s="29">
        <v>30</v>
      </c>
      <c r="K12" s="6"/>
      <c r="L12" s="6"/>
      <c r="M12" s="6">
        <v>21</v>
      </c>
      <c r="N12" s="6">
        <v>20</v>
      </c>
      <c r="O12" s="6">
        <v>18</v>
      </c>
      <c r="P12" s="6">
        <v>20</v>
      </c>
      <c r="Q12" s="6">
        <v>15</v>
      </c>
      <c r="R12" s="6"/>
      <c r="S12" s="6">
        <v>48</v>
      </c>
      <c r="T12" s="6"/>
      <c r="U12" s="6"/>
      <c r="V12" s="6">
        <v>7</v>
      </c>
      <c r="W12" s="6">
        <v>21</v>
      </c>
      <c r="X12" s="6">
        <v>13</v>
      </c>
      <c r="Y12" s="6"/>
      <c r="Z12" s="6">
        <v>10</v>
      </c>
      <c r="AA12" s="6">
        <v>40</v>
      </c>
      <c r="AB12" s="6"/>
      <c r="AC12" s="30">
        <v>15</v>
      </c>
      <c r="AD12" s="6">
        <v>11</v>
      </c>
      <c r="AE12" s="29"/>
      <c r="AF12" s="6">
        <v>11</v>
      </c>
      <c r="AG12" s="29">
        <v>12</v>
      </c>
      <c r="AH12" s="6"/>
      <c r="AI12" s="55">
        <f t="shared" si="0"/>
        <v>14.3</v>
      </c>
      <c r="AJ12" s="37">
        <v>429</v>
      </c>
      <c r="AK12" s="7">
        <f>(AJ12/AJ3)*100</f>
        <v>11.212754835337167</v>
      </c>
    </row>
    <row r="13" spans="1:37" ht="18" customHeight="1" x14ac:dyDescent="0.3">
      <c r="A13" s="126"/>
      <c r="B13" s="141"/>
      <c r="C13" s="88" t="s">
        <v>32</v>
      </c>
      <c r="D13" s="31"/>
      <c r="E13" s="8"/>
      <c r="F13" s="8"/>
      <c r="G13" s="8"/>
      <c r="H13" s="8"/>
      <c r="I13" s="8"/>
      <c r="J13" s="32"/>
      <c r="K13" s="8"/>
      <c r="L13" s="8"/>
      <c r="M13" s="8">
        <v>6</v>
      </c>
      <c r="N13" s="8">
        <v>5</v>
      </c>
      <c r="O13" s="8">
        <v>13</v>
      </c>
      <c r="P13" s="8">
        <v>15</v>
      </c>
      <c r="Q13" s="8"/>
      <c r="R13" s="8"/>
      <c r="S13" s="8"/>
      <c r="T13" s="8"/>
      <c r="U13" s="8"/>
      <c r="V13" s="8"/>
      <c r="W13" s="8">
        <v>9</v>
      </c>
      <c r="X13" s="8">
        <v>7</v>
      </c>
      <c r="Y13" s="8"/>
      <c r="Z13" s="8"/>
      <c r="AA13" s="8"/>
      <c r="AB13" s="8"/>
      <c r="AC13" s="31"/>
      <c r="AD13" s="8"/>
      <c r="AE13" s="33"/>
      <c r="AF13" s="8"/>
      <c r="AG13" s="33"/>
      <c r="AH13" s="8"/>
      <c r="AI13" s="56">
        <f t="shared" si="0"/>
        <v>1.8333333333333333</v>
      </c>
      <c r="AJ13" s="38">
        <v>55</v>
      </c>
      <c r="AK13" s="9">
        <f>(AJ13/AJ3)*100</f>
        <v>1.4375326711970726</v>
      </c>
    </row>
    <row r="14" spans="1:37" ht="18.75" customHeight="1" x14ac:dyDescent="0.3">
      <c r="A14" s="126"/>
      <c r="B14" s="141"/>
      <c r="C14" s="82" t="s">
        <v>19</v>
      </c>
      <c r="D14" s="6"/>
      <c r="E14" s="6"/>
      <c r="F14" s="6"/>
      <c r="G14" s="6"/>
      <c r="H14" s="6"/>
      <c r="I14" s="6"/>
      <c r="J14" s="29">
        <v>90</v>
      </c>
      <c r="K14" s="6"/>
      <c r="L14" s="6"/>
      <c r="M14" s="6"/>
      <c r="N14" s="6"/>
      <c r="O14" s="6"/>
      <c r="P14" s="6"/>
      <c r="Q14" s="6"/>
      <c r="R14" s="6">
        <v>25</v>
      </c>
      <c r="S14" s="6"/>
      <c r="T14" s="6"/>
      <c r="U14" s="6"/>
      <c r="V14" s="6"/>
      <c r="W14" s="6"/>
      <c r="X14" s="6">
        <v>330</v>
      </c>
      <c r="Y14" s="6"/>
      <c r="Z14" s="6"/>
      <c r="AA14" s="6"/>
      <c r="AB14" s="6"/>
      <c r="AC14" s="30"/>
      <c r="AD14" s="6"/>
      <c r="AE14" s="29"/>
      <c r="AF14" s="6"/>
      <c r="AG14" s="29"/>
      <c r="AH14" s="6"/>
      <c r="AI14" s="55">
        <f t="shared" si="0"/>
        <v>14.833333333333334</v>
      </c>
      <c r="AJ14" s="37">
        <v>445</v>
      </c>
      <c r="AK14" s="7">
        <f>(AJ14/AJ3)*100</f>
        <v>11.630946157867223</v>
      </c>
    </row>
    <row r="15" spans="1:37" x14ac:dyDescent="0.3">
      <c r="A15" s="126"/>
      <c r="B15" s="142"/>
      <c r="C15" s="88" t="s">
        <v>20</v>
      </c>
      <c r="D15" s="6"/>
      <c r="E15" s="6"/>
      <c r="F15" s="6"/>
      <c r="G15" s="6"/>
      <c r="H15" s="6"/>
      <c r="I15" s="6"/>
      <c r="J15" s="29">
        <v>150</v>
      </c>
      <c r="K15" s="6">
        <v>15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30"/>
      <c r="AD15" s="6"/>
      <c r="AE15" s="29"/>
      <c r="AF15" s="6"/>
      <c r="AG15" s="29"/>
      <c r="AH15" s="6"/>
      <c r="AI15" s="55">
        <f t="shared" si="0"/>
        <v>5.5</v>
      </c>
      <c r="AJ15" s="37">
        <v>165</v>
      </c>
      <c r="AK15" s="7">
        <f>(AJ15/AJ3)*100</f>
        <v>4.3125980135912183</v>
      </c>
    </row>
    <row r="16" spans="1:37" x14ac:dyDescent="0.3">
      <c r="A16" s="127"/>
      <c r="B16" s="119" t="s">
        <v>23</v>
      </c>
      <c r="C16" s="120"/>
      <c r="D16" s="119">
        <f>SUM(D5:E15)+1048</f>
        <v>1145</v>
      </c>
      <c r="E16" s="124"/>
      <c r="F16" s="119">
        <f>SUM(F5:L15)</f>
        <v>613</v>
      </c>
      <c r="G16" s="120"/>
      <c r="H16" s="120"/>
      <c r="I16" s="120"/>
      <c r="J16" s="120"/>
      <c r="K16" s="120"/>
      <c r="L16" s="124"/>
      <c r="M16" s="119">
        <f>SUM(M5:S15)</f>
        <v>742</v>
      </c>
      <c r="N16" s="120"/>
      <c r="O16" s="120"/>
      <c r="P16" s="120"/>
      <c r="Q16" s="120"/>
      <c r="R16" s="120"/>
      <c r="S16" s="124"/>
      <c r="T16" s="119">
        <f>SUM(T5:Z15)</f>
        <v>855</v>
      </c>
      <c r="U16" s="120"/>
      <c r="V16" s="120"/>
      <c r="W16" s="120"/>
      <c r="X16" s="120"/>
      <c r="Y16" s="120"/>
      <c r="Z16" s="124"/>
      <c r="AA16" s="119">
        <f>SUM(AA5:AG15)</f>
        <v>598</v>
      </c>
      <c r="AB16" s="120"/>
      <c r="AC16" s="120"/>
      <c r="AD16" s="120"/>
      <c r="AE16" s="120"/>
      <c r="AF16" s="120"/>
      <c r="AG16" s="124"/>
      <c r="AH16" s="64"/>
      <c r="AI16" s="65">
        <f>AJ16/30</f>
        <v>96.833333333333329</v>
      </c>
      <c r="AJ16" s="64">
        <f>SUM(AJ5,AJ6,AJ7,AJ8,AJ9,AJ10,AJ11,AJ12,AJ13,AJ14,AJ15)</f>
        <v>2905</v>
      </c>
      <c r="AK16" s="10">
        <f>SUM(AK5,AK6,AK7,AK8,AK9,AK10,AK11,AK12,AK13,AK14,AK15)</f>
        <v>75.92786199686357</v>
      </c>
    </row>
    <row r="17" spans="1:37" x14ac:dyDescent="0.3">
      <c r="A17" s="121" t="s">
        <v>11</v>
      </c>
      <c r="B17" s="121"/>
      <c r="C17" s="122"/>
      <c r="D17" s="123">
        <v>2985</v>
      </c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2"/>
      <c r="AK17" s="60"/>
    </row>
    <row r="18" spans="1:37" x14ac:dyDescent="0.3">
      <c r="A18" s="109" t="s">
        <v>24</v>
      </c>
      <c r="B18" s="109"/>
      <c r="C18" s="110"/>
      <c r="D18" s="111">
        <f>(AJ3+D17)-AJ16</f>
        <v>3906</v>
      </c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2"/>
      <c r="AK18" s="34">
        <f>((AJ3-AJ16)/AJ3)*100</f>
        <v>24.072138003136434</v>
      </c>
    </row>
  </sheetData>
  <mergeCells count="21">
    <mergeCell ref="A1:C2"/>
    <mergeCell ref="AI1:AI2"/>
    <mergeCell ref="AJ1:AJ2"/>
    <mergeCell ref="AK1:AK2"/>
    <mergeCell ref="A3:B4"/>
    <mergeCell ref="AI3:AI4"/>
    <mergeCell ref="AJ3:AJ4"/>
    <mergeCell ref="AK3:AK4"/>
    <mergeCell ref="A18:C18"/>
    <mergeCell ref="D18:AJ18"/>
    <mergeCell ref="A5:A16"/>
    <mergeCell ref="B5:B11"/>
    <mergeCell ref="B12:B15"/>
    <mergeCell ref="B16:C16"/>
    <mergeCell ref="A17:C17"/>
    <mergeCell ref="D17:AJ17"/>
    <mergeCell ref="D16:E16"/>
    <mergeCell ref="F16:L16"/>
    <mergeCell ref="M16:S16"/>
    <mergeCell ref="T16:Z16"/>
    <mergeCell ref="AA16:AG1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18"/>
  <sheetViews>
    <sheetView zoomScale="80" zoomScaleNormal="80" workbookViewId="0">
      <selection activeCell="B12" sqref="B12:B15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2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75" customHeight="1" x14ac:dyDescent="0.3">
      <c r="A1" s="91"/>
      <c r="B1" s="91"/>
      <c r="C1" s="92"/>
      <c r="D1" s="41" t="s">
        <v>9</v>
      </c>
      <c r="E1" s="41" t="s">
        <v>8</v>
      </c>
      <c r="F1" s="41" t="s">
        <v>7</v>
      </c>
      <c r="G1" s="42" t="s">
        <v>6</v>
      </c>
      <c r="H1" s="40" t="s">
        <v>5</v>
      </c>
      <c r="I1" s="41" t="s">
        <v>4</v>
      </c>
      <c r="J1" s="42" t="s">
        <v>29</v>
      </c>
      <c r="K1" s="41" t="s">
        <v>9</v>
      </c>
      <c r="L1" s="41" t="s">
        <v>8</v>
      </c>
      <c r="M1" s="41" t="s">
        <v>7</v>
      </c>
      <c r="N1" s="42" t="s">
        <v>6</v>
      </c>
      <c r="O1" s="40" t="s">
        <v>5</v>
      </c>
      <c r="P1" s="41" t="s">
        <v>4</v>
      </c>
      <c r="Q1" s="42" t="s">
        <v>29</v>
      </c>
      <c r="R1" s="41" t="s">
        <v>9</v>
      </c>
      <c r="S1" s="41" t="s">
        <v>8</v>
      </c>
      <c r="T1" s="41" t="s">
        <v>7</v>
      </c>
      <c r="U1" s="42" t="s">
        <v>6</v>
      </c>
      <c r="V1" s="40" t="s">
        <v>5</v>
      </c>
      <c r="W1" s="41" t="s">
        <v>4</v>
      </c>
      <c r="X1" s="42" t="s">
        <v>29</v>
      </c>
      <c r="Y1" s="41" t="s">
        <v>9</v>
      </c>
      <c r="Z1" s="41" t="s">
        <v>8</v>
      </c>
      <c r="AA1" s="41" t="s">
        <v>7</v>
      </c>
      <c r="AB1" s="42" t="s">
        <v>6</v>
      </c>
      <c r="AC1" s="40" t="s">
        <v>5</v>
      </c>
      <c r="AD1" s="41" t="s">
        <v>4</v>
      </c>
      <c r="AE1" s="42" t="s">
        <v>29</v>
      </c>
      <c r="AF1" s="41" t="s">
        <v>9</v>
      </c>
      <c r="AG1" s="41" t="s">
        <v>8</v>
      </c>
      <c r="AH1" s="41" t="s">
        <v>7</v>
      </c>
      <c r="AI1" s="105" t="s">
        <v>31</v>
      </c>
      <c r="AJ1" s="95" t="s">
        <v>30</v>
      </c>
      <c r="AK1" s="97" t="s">
        <v>10</v>
      </c>
    </row>
    <row r="2" spans="1:37" x14ac:dyDescent="0.3">
      <c r="A2" s="93"/>
      <c r="B2" s="93"/>
      <c r="C2" s="94"/>
      <c r="D2" s="13">
        <v>1</v>
      </c>
      <c r="E2" s="14">
        <v>2</v>
      </c>
      <c r="F2" s="14">
        <v>3</v>
      </c>
      <c r="G2" s="14">
        <v>4</v>
      </c>
      <c r="H2" s="14">
        <v>5</v>
      </c>
      <c r="I2" s="14">
        <v>6</v>
      </c>
      <c r="J2" s="15">
        <v>7</v>
      </c>
      <c r="K2" s="14">
        <v>8</v>
      </c>
      <c r="L2" s="14">
        <v>9</v>
      </c>
      <c r="M2" s="14">
        <v>10</v>
      </c>
      <c r="N2" s="14">
        <v>11</v>
      </c>
      <c r="O2" s="14">
        <v>12</v>
      </c>
      <c r="P2" s="14">
        <v>13</v>
      </c>
      <c r="Q2" s="14">
        <v>14</v>
      </c>
      <c r="R2" s="14">
        <v>15</v>
      </c>
      <c r="S2" s="14">
        <v>16</v>
      </c>
      <c r="T2" s="14">
        <v>17</v>
      </c>
      <c r="U2" s="14">
        <v>18</v>
      </c>
      <c r="V2" s="14">
        <v>19</v>
      </c>
      <c r="W2" s="14">
        <v>20</v>
      </c>
      <c r="X2" s="14">
        <v>21</v>
      </c>
      <c r="Y2" s="14">
        <v>22</v>
      </c>
      <c r="Z2" s="14">
        <v>23</v>
      </c>
      <c r="AA2" s="14">
        <v>24</v>
      </c>
      <c r="AB2" s="14">
        <v>25</v>
      </c>
      <c r="AC2" s="13">
        <v>26</v>
      </c>
      <c r="AD2" s="14">
        <v>27</v>
      </c>
      <c r="AE2" s="15">
        <v>28</v>
      </c>
      <c r="AF2" s="14">
        <v>29</v>
      </c>
      <c r="AG2" s="15">
        <v>30</v>
      </c>
      <c r="AH2" s="14">
        <v>31</v>
      </c>
      <c r="AI2" s="106"/>
      <c r="AJ2" s="96"/>
      <c r="AK2" s="98"/>
    </row>
    <row r="3" spans="1:37" x14ac:dyDescent="0.3">
      <c r="A3" s="99" t="s">
        <v>28</v>
      </c>
      <c r="B3" s="100"/>
      <c r="C3" s="83" t="s">
        <v>0</v>
      </c>
      <c r="D3" s="17"/>
      <c r="E3" s="18"/>
      <c r="F3" s="18"/>
      <c r="G3" s="18"/>
      <c r="H3" s="18"/>
      <c r="I3" s="21"/>
      <c r="J3" s="19">
        <v>910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>
        <v>1422</v>
      </c>
      <c r="Z3" s="18"/>
      <c r="AA3" s="18"/>
      <c r="AB3" s="18"/>
      <c r="AC3" s="17"/>
      <c r="AD3" s="18"/>
      <c r="AE3" s="20"/>
      <c r="AF3" s="18"/>
      <c r="AG3" s="20"/>
      <c r="AH3" s="18"/>
      <c r="AI3" s="107">
        <f>AJ3/31</f>
        <v>81.838709677419359</v>
      </c>
      <c r="AJ3" s="103">
        <f>SUM(D3,E3,F3,G3,H3,I3,J3,K3,L3,M3,N3,O3,P3,Q3,R3,S3,T3,U3,V3,W3,X3,Y3,Z3,AA3,AB3,AC3,AD3,AE3,AF3,AG3,AH3,D4,E4,F4,G4,H4,I4,J4,K4,L4,M4,N4,O4,P4,Q4,R4,S4,T4,U4,V4,W4,X4,Y4,Z4,AA4,AB4,AC4,AD4,AE4,AF4,AG4,AH4)</f>
        <v>2537</v>
      </c>
      <c r="AK3" s="103">
        <v>100</v>
      </c>
    </row>
    <row r="4" spans="1:37" x14ac:dyDescent="0.3">
      <c r="A4" s="101"/>
      <c r="B4" s="102"/>
      <c r="C4" s="84" t="s">
        <v>12</v>
      </c>
      <c r="D4" s="21"/>
      <c r="E4" s="21"/>
      <c r="F4" s="21"/>
      <c r="G4" s="21"/>
      <c r="H4" s="21"/>
      <c r="I4" s="21"/>
      <c r="J4" s="22"/>
      <c r="K4" s="21"/>
      <c r="L4" s="21"/>
      <c r="M4" s="21">
        <v>40</v>
      </c>
      <c r="N4" s="21"/>
      <c r="O4" s="21">
        <v>20</v>
      </c>
      <c r="P4" s="21"/>
      <c r="Q4" s="21">
        <v>25</v>
      </c>
      <c r="R4" s="21"/>
      <c r="S4" s="21"/>
      <c r="T4" s="21"/>
      <c r="U4" s="21"/>
      <c r="V4" s="21"/>
      <c r="W4" s="21"/>
      <c r="X4" s="21">
        <v>50</v>
      </c>
      <c r="Y4" s="21"/>
      <c r="Z4" s="21"/>
      <c r="AA4" s="21"/>
      <c r="AB4" s="21"/>
      <c r="AC4" s="23"/>
      <c r="AD4" s="21"/>
      <c r="AE4" s="22">
        <v>70</v>
      </c>
      <c r="AF4" s="21"/>
      <c r="AG4" s="22"/>
      <c r="AH4" s="21"/>
      <c r="AI4" s="108"/>
      <c r="AJ4" s="104"/>
      <c r="AK4" s="104"/>
    </row>
    <row r="5" spans="1:37" ht="18.75" customHeight="1" x14ac:dyDescent="0.3">
      <c r="A5" s="125" t="s">
        <v>27</v>
      </c>
      <c r="B5" s="115" t="s">
        <v>21</v>
      </c>
      <c r="C5" s="85" t="s">
        <v>13</v>
      </c>
      <c r="D5" s="24">
        <v>33</v>
      </c>
      <c r="E5" s="2">
        <v>63</v>
      </c>
      <c r="F5" s="2"/>
      <c r="G5" s="2">
        <v>14</v>
      </c>
      <c r="H5" s="2">
        <v>59</v>
      </c>
      <c r="I5" s="2">
        <v>22</v>
      </c>
      <c r="J5" s="25"/>
      <c r="K5" s="2">
        <v>18</v>
      </c>
      <c r="L5" s="2"/>
      <c r="M5" s="2"/>
      <c r="N5" s="2">
        <v>14</v>
      </c>
      <c r="O5" s="2">
        <v>5</v>
      </c>
      <c r="P5" s="2"/>
      <c r="Q5" s="2"/>
      <c r="R5" s="2">
        <v>6</v>
      </c>
      <c r="S5" s="2">
        <v>7</v>
      </c>
      <c r="T5" s="2">
        <v>63</v>
      </c>
      <c r="U5" s="2">
        <v>8</v>
      </c>
      <c r="V5" s="2">
        <v>12</v>
      </c>
      <c r="W5" s="2"/>
      <c r="X5" s="2"/>
      <c r="Y5" s="2"/>
      <c r="Z5" s="2">
        <v>30</v>
      </c>
      <c r="AA5" s="2">
        <v>70</v>
      </c>
      <c r="AB5" s="2"/>
      <c r="AC5" s="24">
        <v>16</v>
      </c>
      <c r="AD5" s="2"/>
      <c r="AE5" s="26"/>
      <c r="AF5" s="2">
        <v>22</v>
      </c>
      <c r="AG5" s="26">
        <v>7</v>
      </c>
      <c r="AH5" s="2">
        <v>9</v>
      </c>
      <c r="AI5" s="53">
        <f t="shared" ref="AI5:AI15" si="0">AJ5/31</f>
        <v>15.419354838709678</v>
      </c>
      <c r="AJ5" s="35">
        <f>SUM(D5,E5,F5,G5,H5,I5,J5,K5,L5,M5,N5,O5,P5,Q5,R5,S5,T5,U5,V5,W5,X5,Y5,Z5,AA5,AB5,AC5,AD5,AE5,AF5,AG5,AH5)</f>
        <v>478</v>
      </c>
      <c r="AK5" s="3">
        <f>(AJ5/AJ3)*100</f>
        <v>18.841150965707527</v>
      </c>
    </row>
    <row r="6" spans="1:37" x14ac:dyDescent="0.3">
      <c r="A6" s="126"/>
      <c r="B6" s="115"/>
      <c r="C6" s="86" t="s">
        <v>1</v>
      </c>
      <c r="D6" s="4"/>
      <c r="E6" s="4"/>
      <c r="F6" s="4"/>
      <c r="G6" s="4"/>
      <c r="H6" s="4"/>
      <c r="I6" s="4"/>
      <c r="J6" s="27"/>
      <c r="K6" s="4">
        <v>500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28"/>
      <c r="AD6" s="4"/>
      <c r="AE6" s="27"/>
      <c r="AF6" s="4">
        <v>90</v>
      </c>
      <c r="AG6" s="27"/>
      <c r="AH6" s="4"/>
      <c r="AI6" s="54">
        <f t="shared" si="0"/>
        <v>19.032258064516128</v>
      </c>
      <c r="AJ6" s="36">
        <f>SUM(D6,E6,F6,G6,H6,I6,J6,K6,L6,M6,N6,O6,P6,Q6,R6,S6,T6,U6,V6,W6,X6,Y6,Z6,AA6,AB6,AC6,AD6,AE6,AF6,AG6,AH6)</f>
        <v>590</v>
      </c>
      <c r="AK6" s="5">
        <f>(AJ6/AJ3)*100</f>
        <v>23.255813953488371</v>
      </c>
    </row>
    <row r="7" spans="1:37" x14ac:dyDescent="0.3">
      <c r="A7" s="126"/>
      <c r="B7" s="115"/>
      <c r="C7" s="86" t="s">
        <v>15</v>
      </c>
      <c r="D7" s="28"/>
      <c r="E7" s="4"/>
      <c r="F7" s="4"/>
      <c r="G7" s="4"/>
      <c r="H7" s="4"/>
      <c r="I7" s="4"/>
      <c r="J7" s="27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8">
        <v>14</v>
      </c>
      <c r="AD7" s="4"/>
      <c r="AE7" s="27"/>
      <c r="AF7" s="4"/>
      <c r="AG7" s="27"/>
      <c r="AH7" s="4"/>
      <c r="AI7" s="54">
        <f t="shared" si="0"/>
        <v>0.45161290322580644</v>
      </c>
      <c r="AJ7" s="36">
        <f>SUM(D7,E7,F7,G7,H7,I7,J7,K7,L7,M7,N7,O7,P7,Q7,R7,S7,T7,U7,V7,W7,X7,Y7,Z7,AA7,AB7,AC7,AD7,AE7,AF7,AG7,AH7)</f>
        <v>14</v>
      </c>
      <c r="AK7" s="5">
        <f>(AJ7/AJ3)*100</f>
        <v>0.55183287347260546</v>
      </c>
    </row>
    <row r="8" spans="1:37" x14ac:dyDescent="0.3">
      <c r="A8" s="126"/>
      <c r="B8" s="115"/>
      <c r="C8" s="87" t="s">
        <v>16</v>
      </c>
      <c r="D8" s="48"/>
      <c r="E8" s="49"/>
      <c r="F8" s="49"/>
      <c r="G8" s="49"/>
      <c r="H8" s="49"/>
      <c r="I8" s="49"/>
      <c r="J8" s="50"/>
      <c r="K8" s="49"/>
      <c r="L8" s="49"/>
      <c r="M8" s="49"/>
      <c r="N8" s="49"/>
      <c r="O8" s="49">
        <v>7</v>
      </c>
      <c r="P8" s="49"/>
      <c r="Q8" s="49"/>
      <c r="R8" s="49">
        <v>20</v>
      </c>
      <c r="S8" s="49">
        <v>19</v>
      </c>
      <c r="T8" s="49"/>
      <c r="U8" s="49"/>
      <c r="V8" s="49"/>
      <c r="W8" s="49"/>
      <c r="X8" s="49">
        <v>4</v>
      </c>
      <c r="Y8" s="49">
        <v>7</v>
      </c>
      <c r="Z8" s="49"/>
      <c r="AA8" s="49">
        <v>26</v>
      </c>
      <c r="AB8" s="49">
        <v>3</v>
      </c>
      <c r="AC8" s="48"/>
      <c r="AD8" s="49"/>
      <c r="AE8" s="50"/>
      <c r="AF8" s="49"/>
      <c r="AG8" s="50"/>
      <c r="AH8" s="49">
        <v>3</v>
      </c>
      <c r="AI8" s="57">
        <f t="shared" si="0"/>
        <v>2.870967741935484</v>
      </c>
      <c r="AJ8" s="51">
        <f>SUM(D8,E8,F8,G8,H8,I8,J8,K8,L8,M8,N8,O8,P8,Q8,R8,S8,T8,U8,V8,W8,X8,Y8,Z8,AA8,AB8,AC8,AD8,AE8,AF8,AG8,AH8)</f>
        <v>89</v>
      </c>
      <c r="AK8" s="52">
        <f>(AJ8/AJ3)*100</f>
        <v>3.5080804099329921</v>
      </c>
    </row>
    <row r="9" spans="1:37" x14ac:dyDescent="0.3">
      <c r="A9" s="126"/>
      <c r="B9" s="115"/>
      <c r="C9" s="86" t="s">
        <v>14</v>
      </c>
      <c r="D9" s="24">
        <v>2</v>
      </c>
      <c r="E9" s="2">
        <v>10</v>
      </c>
      <c r="F9" s="2"/>
      <c r="G9" s="2">
        <v>10</v>
      </c>
      <c r="H9" s="2"/>
      <c r="I9" s="2"/>
      <c r="J9" s="25">
        <v>23</v>
      </c>
      <c r="K9" s="2">
        <v>20</v>
      </c>
      <c r="L9" s="2"/>
      <c r="M9" s="2">
        <v>42</v>
      </c>
      <c r="N9" s="2"/>
      <c r="O9" s="2"/>
      <c r="P9" s="2"/>
      <c r="Q9" s="2">
        <v>5</v>
      </c>
      <c r="R9" s="2"/>
      <c r="S9" s="2">
        <v>14</v>
      </c>
      <c r="T9" s="2"/>
      <c r="U9" s="2"/>
      <c r="V9" s="2">
        <v>18</v>
      </c>
      <c r="W9" s="2"/>
      <c r="X9" s="2">
        <v>9</v>
      </c>
      <c r="Y9" s="2"/>
      <c r="Z9" s="2">
        <v>17</v>
      </c>
      <c r="AA9" s="2">
        <v>10</v>
      </c>
      <c r="AB9" s="2"/>
      <c r="AC9" s="24">
        <v>23</v>
      </c>
      <c r="AD9" s="2"/>
      <c r="AE9" s="26"/>
      <c r="AF9" s="2">
        <v>42</v>
      </c>
      <c r="AG9" s="26"/>
      <c r="AH9" s="2">
        <v>24</v>
      </c>
      <c r="AI9" s="53">
        <f t="shared" si="0"/>
        <v>8.67741935483871</v>
      </c>
      <c r="AJ9" s="35">
        <f>SUM(D9,E9,F9,G9,H9,I9,J9,K9,L9,M9,N9,O9,P9,Q9,R9,S9,T9,U9,V9,W9,X9,Y9,Z9,AA9,AB9,AC9,AD9,AE9,AF9,AG9,AH9)</f>
        <v>269</v>
      </c>
      <c r="AK9" s="3">
        <f>(AJ9/AJ3)*100</f>
        <v>10.603074497437918</v>
      </c>
    </row>
    <row r="10" spans="1:37" x14ac:dyDescent="0.3">
      <c r="A10" s="126"/>
      <c r="B10" s="115"/>
      <c r="C10" s="86" t="s">
        <v>17</v>
      </c>
      <c r="D10" s="4"/>
      <c r="E10" s="4">
        <v>20</v>
      </c>
      <c r="F10" s="4"/>
      <c r="G10" s="4"/>
      <c r="H10" s="4"/>
      <c r="I10" s="4"/>
      <c r="J10" s="27">
        <v>30</v>
      </c>
      <c r="K10" s="4"/>
      <c r="L10" s="4"/>
      <c r="M10" s="4"/>
      <c r="N10" s="4">
        <v>240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8"/>
      <c r="AD10" s="4"/>
      <c r="AE10" s="27"/>
      <c r="AF10" s="4"/>
      <c r="AG10" s="27"/>
      <c r="AH10" s="4"/>
      <c r="AI10" s="54">
        <f t="shared" si="0"/>
        <v>9.3548387096774199</v>
      </c>
      <c r="AJ10" s="36">
        <f>SUM(D10:AH10)</f>
        <v>290</v>
      </c>
      <c r="AK10" s="5">
        <f>(AJ10/AJ3)*100</f>
        <v>11.430823807646826</v>
      </c>
    </row>
    <row r="11" spans="1:37" x14ac:dyDescent="0.3">
      <c r="A11" s="126"/>
      <c r="B11" s="115"/>
      <c r="C11" s="86" t="s">
        <v>18</v>
      </c>
      <c r="D11" s="24"/>
      <c r="E11" s="2">
        <v>8</v>
      </c>
      <c r="F11" s="2">
        <v>2</v>
      </c>
      <c r="G11" s="2"/>
      <c r="H11" s="2">
        <v>140</v>
      </c>
      <c r="I11" s="2"/>
      <c r="J11" s="25"/>
      <c r="K11" s="2"/>
      <c r="L11" s="2">
        <v>10</v>
      </c>
      <c r="M11" s="2">
        <v>76</v>
      </c>
      <c r="N11" s="2"/>
      <c r="O11" s="2">
        <v>245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4"/>
      <c r="AD11" s="2"/>
      <c r="AE11" s="26"/>
      <c r="AF11" s="2"/>
      <c r="AG11" s="26"/>
      <c r="AH11" s="2">
        <v>130</v>
      </c>
      <c r="AI11" s="53">
        <f>AJ11/31</f>
        <v>19.70967741935484</v>
      </c>
      <c r="AJ11" s="35">
        <f>SUM(D11:AH11)</f>
        <v>611</v>
      </c>
      <c r="AK11" s="3">
        <f>(AJ11/AJ3)*100</f>
        <v>24.083563263697279</v>
      </c>
    </row>
    <row r="12" spans="1:37" ht="18.75" customHeight="1" x14ac:dyDescent="0.3">
      <c r="A12" s="126"/>
      <c r="B12" s="140" t="s">
        <v>22</v>
      </c>
      <c r="C12" s="88" t="s">
        <v>2</v>
      </c>
      <c r="D12" s="6">
        <v>16</v>
      </c>
      <c r="E12" s="6">
        <v>9</v>
      </c>
      <c r="F12" s="6">
        <v>8</v>
      </c>
      <c r="G12" s="6">
        <v>23</v>
      </c>
      <c r="H12" s="6">
        <v>11</v>
      </c>
      <c r="I12" s="6"/>
      <c r="J12" s="29"/>
      <c r="K12" s="6">
        <v>6</v>
      </c>
      <c r="L12" s="6"/>
      <c r="M12" s="6">
        <v>12</v>
      </c>
      <c r="N12" s="6"/>
      <c r="O12" s="6">
        <v>47</v>
      </c>
      <c r="P12" s="6">
        <v>32</v>
      </c>
      <c r="Q12" s="6"/>
      <c r="R12" s="6">
        <v>20</v>
      </c>
      <c r="S12" s="6"/>
      <c r="T12" s="6"/>
      <c r="U12" s="6"/>
      <c r="V12" s="6">
        <v>20</v>
      </c>
      <c r="W12" s="6"/>
      <c r="X12" s="6">
        <v>16</v>
      </c>
      <c r="Y12" s="6"/>
      <c r="Z12" s="6"/>
      <c r="AA12" s="6"/>
      <c r="AB12" s="6"/>
      <c r="AC12" s="30">
        <v>6</v>
      </c>
      <c r="AD12" s="6"/>
      <c r="AE12" s="29"/>
      <c r="AF12" s="6"/>
      <c r="AG12" s="29"/>
      <c r="AH12" s="6">
        <v>9</v>
      </c>
      <c r="AI12" s="55">
        <f t="shared" si="0"/>
        <v>7.580645161290323</v>
      </c>
      <c r="AJ12" s="37">
        <f>SUM(D12:AH12)</f>
        <v>235</v>
      </c>
      <c r="AK12" s="7">
        <f>(AJ12/AJ3)*100</f>
        <v>9.2629089475758768</v>
      </c>
    </row>
    <row r="13" spans="1:37" ht="18" customHeight="1" x14ac:dyDescent="0.3">
      <c r="A13" s="126"/>
      <c r="B13" s="141"/>
      <c r="C13" s="88" t="s">
        <v>32</v>
      </c>
      <c r="D13" s="31">
        <v>14</v>
      </c>
      <c r="E13" s="8"/>
      <c r="F13" s="8">
        <v>11</v>
      </c>
      <c r="G13" s="8">
        <v>10</v>
      </c>
      <c r="H13" s="8"/>
      <c r="I13" s="8"/>
      <c r="J13" s="32"/>
      <c r="K13" s="8"/>
      <c r="L13" s="8"/>
      <c r="M13" s="8">
        <v>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31"/>
      <c r="AD13" s="8"/>
      <c r="AE13" s="33"/>
      <c r="AF13" s="8"/>
      <c r="AG13" s="33"/>
      <c r="AH13" s="8"/>
      <c r="AI13" s="56">
        <f t="shared" si="0"/>
        <v>1.2903225806451613</v>
      </c>
      <c r="AJ13" s="38">
        <f>SUM(D13:AH13)</f>
        <v>40</v>
      </c>
      <c r="AK13" s="9">
        <f>(AJ13/AJ3)*100</f>
        <v>1.5766653527788728</v>
      </c>
    </row>
    <row r="14" spans="1:37" ht="18.75" customHeight="1" x14ac:dyDescent="0.3">
      <c r="A14" s="126"/>
      <c r="B14" s="141"/>
      <c r="C14" s="82" t="s">
        <v>19</v>
      </c>
      <c r="D14" s="6"/>
      <c r="E14" s="6"/>
      <c r="F14" s="6"/>
      <c r="G14" s="6"/>
      <c r="H14" s="6"/>
      <c r="I14" s="6"/>
      <c r="J14" s="29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30"/>
      <c r="AD14" s="6"/>
      <c r="AE14" s="29"/>
      <c r="AF14" s="6"/>
      <c r="AG14" s="29"/>
      <c r="AH14" s="6"/>
      <c r="AI14" s="55">
        <f t="shared" si="0"/>
        <v>0</v>
      </c>
      <c r="AJ14" s="37">
        <v>0</v>
      </c>
      <c r="AK14" s="7">
        <f>(AJ14/AJ3)*100</f>
        <v>0</v>
      </c>
    </row>
    <row r="15" spans="1:37" x14ac:dyDescent="0.3">
      <c r="A15" s="126"/>
      <c r="B15" s="142"/>
      <c r="C15" s="88" t="s">
        <v>20</v>
      </c>
      <c r="D15" s="6"/>
      <c r="E15" s="6"/>
      <c r="F15" s="6"/>
      <c r="G15" s="6"/>
      <c r="H15" s="6"/>
      <c r="I15" s="6"/>
      <c r="J15" s="29">
        <v>80</v>
      </c>
      <c r="K15" s="6"/>
      <c r="L15" s="6">
        <v>30</v>
      </c>
      <c r="M15" s="6"/>
      <c r="N15" s="6"/>
      <c r="O15" s="6"/>
      <c r="P15" s="6">
        <v>30</v>
      </c>
      <c r="Q15" s="6"/>
      <c r="R15" s="6"/>
      <c r="S15" s="6"/>
      <c r="T15" s="6"/>
      <c r="U15" s="6"/>
      <c r="V15" s="6">
        <v>50</v>
      </c>
      <c r="W15" s="6"/>
      <c r="X15" s="6">
        <v>85</v>
      </c>
      <c r="Y15" s="6"/>
      <c r="Z15" s="6"/>
      <c r="AA15" s="6"/>
      <c r="AB15" s="6"/>
      <c r="AC15" s="30">
        <v>40</v>
      </c>
      <c r="AD15" s="6">
        <v>40</v>
      </c>
      <c r="AE15" s="29"/>
      <c r="AF15" s="6"/>
      <c r="AG15" s="29"/>
      <c r="AH15" s="6"/>
      <c r="AI15" s="55">
        <f t="shared" si="0"/>
        <v>11.451612903225806</v>
      </c>
      <c r="AJ15" s="37">
        <f>SUM(D15:AH15)</f>
        <v>355</v>
      </c>
      <c r="AK15" s="7">
        <f>(AJ15/AJ3)*100</f>
        <v>13.992905005912496</v>
      </c>
    </row>
    <row r="16" spans="1:37" x14ac:dyDescent="0.3">
      <c r="A16" s="127"/>
      <c r="B16" s="119" t="s">
        <v>23</v>
      </c>
      <c r="C16" s="120"/>
      <c r="D16" s="119">
        <f>SUM(D5:J15)</f>
        <v>618</v>
      </c>
      <c r="E16" s="120"/>
      <c r="F16" s="120"/>
      <c r="G16" s="120"/>
      <c r="H16" s="120"/>
      <c r="I16" s="120"/>
      <c r="J16" s="124"/>
      <c r="K16" s="119">
        <f>SUM(K5:Q15)</f>
        <v>1344</v>
      </c>
      <c r="L16" s="120"/>
      <c r="M16" s="120"/>
      <c r="N16" s="120"/>
      <c r="O16" s="120"/>
      <c r="P16" s="120"/>
      <c r="Q16" s="124"/>
      <c r="R16" s="119">
        <f>SUM(R5:X15)</f>
        <v>371</v>
      </c>
      <c r="S16" s="120"/>
      <c r="T16" s="120"/>
      <c r="U16" s="120"/>
      <c r="V16" s="120"/>
      <c r="W16" s="120"/>
      <c r="X16" s="124"/>
      <c r="Y16" s="119">
        <f>SUM(Y5:AE15)</f>
        <v>302</v>
      </c>
      <c r="Z16" s="120"/>
      <c r="AA16" s="120"/>
      <c r="AB16" s="120"/>
      <c r="AC16" s="120"/>
      <c r="AD16" s="120"/>
      <c r="AE16" s="124"/>
      <c r="AF16" s="119">
        <f>SUM(AF5:AH15)</f>
        <v>336</v>
      </c>
      <c r="AG16" s="120"/>
      <c r="AH16" s="124"/>
      <c r="AI16" s="65">
        <f>AJ16/31</f>
        <v>95.838709677419359</v>
      </c>
      <c r="AJ16" s="64">
        <f>SUM(AJ5,AJ6,AJ7,AJ8,AJ9,AJ10,AJ11,AJ12,AJ13,AJ14,AJ15)</f>
        <v>2971</v>
      </c>
      <c r="AK16" s="10">
        <f>SUM(AK5,AK6,AK7,AK8,AK9,AK10,AK11,AK12,AK13,AK14,AK15)</f>
        <v>117.10681907765077</v>
      </c>
    </row>
    <row r="17" spans="1:37" x14ac:dyDescent="0.3">
      <c r="A17" s="121" t="s">
        <v>11</v>
      </c>
      <c r="B17" s="121"/>
      <c r="C17" s="122"/>
      <c r="D17" s="123">
        <v>3906</v>
      </c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2"/>
      <c r="AK17" s="61"/>
    </row>
    <row r="18" spans="1:37" x14ac:dyDescent="0.3">
      <c r="A18" s="109" t="s">
        <v>24</v>
      </c>
      <c r="B18" s="109"/>
      <c r="C18" s="110"/>
      <c r="D18" s="111">
        <f>(AJ3+D17)-AJ16</f>
        <v>3472</v>
      </c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2"/>
      <c r="AK18" s="34">
        <f>((AJ3-AJ16)/AJ3)*100</f>
        <v>-17.106819077650766</v>
      </c>
    </row>
  </sheetData>
  <mergeCells count="21">
    <mergeCell ref="A1:C2"/>
    <mergeCell ref="AI1:AI2"/>
    <mergeCell ref="AJ1:AJ2"/>
    <mergeCell ref="AK1:AK2"/>
    <mergeCell ref="A3:B4"/>
    <mergeCell ref="AI3:AI4"/>
    <mergeCell ref="AJ3:AJ4"/>
    <mergeCell ref="AK3:AK4"/>
    <mergeCell ref="A18:C18"/>
    <mergeCell ref="D18:AJ18"/>
    <mergeCell ref="A5:A16"/>
    <mergeCell ref="B5:B11"/>
    <mergeCell ref="B12:B15"/>
    <mergeCell ref="B16:C16"/>
    <mergeCell ref="A17:C17"/>
    <mergeCell ref="D17:AJ17"/>
    <mergeCell ref="D16:J16"/>
    <mergeCell ref="K16:Q16"/>
    <mergeCell ref="R16:X16"/>
    <mergeCell ref="Y16:AE16"/>
    <mergeCell ref="AF16:AH1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18"/>
  <sheetViews>
    <sheetView zoomScale="80" zoomScaleNormal="80" workbookViewId="0">
      <selection activeCell="B12" sqref="B12:B15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1.570312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75" customHeight="1" x14ac:dyDescent="0.3">
      <c r="A1" s="91"/>
      <c r="B1" s="91"/>
      <c r="C1" s="92"/>
      <c r="D1" s="42" t="s">
        <v>6</v>
      </c>
      <c r="E1" s="40" t="s">
        <v>5</v>
      </c>
      <c r="F1" s="41" t="s">
        <v>4</v>
      </c>
      <c r="G1" s="42" t="s">
        <v>29</v>
      </c>
      <c r="H1" s="41" t="s">
        <v>9</v>
      </c>
      <c r="I1" s="41" t="s">
        <v>8</v>
      </c>
      <c r="J1" s="41" t="s">
        <v>7</v>
      </c>
      <c r="K1" s="42" t="s">
        <v>6</v>
      </c>
      <c r="L1" s="40" t="s">
        <v>5</v>
      </c>
      <c r="M1" s="41" t="s">
        <v>4</v>
      </c>
      <c r="N1" s="42" t="s">
        <v>29</v>
      </c>
      <c r="O1" s="41" t="s">
        <v>9</v>
      </c>
      <c r="P1" s="41" t="s">
        <v>8</v>
      </c>
      <c r="Q1" s="41" t="s">
        <v>7</v>
      </c>
      <c r="R1" s="42" t="s">
        <v>6</v>
      </c>
      <c r="S1" s="40" t="s">
        <v>5</v>
      </c>
      <c r="T1" s="41" t="s">
        <v>4</v>
      </c>
      <c r="U1" s="42" t="s">
        <v>29</v>
      </c>
      <c r="V1" s="41" t="s">
        <v>9</v>
      </c>
      <c r="W1" s="41" t="s">
        <v>8</v>
      </c>
      <c r="X1" s="41" t="s">
        <v>7</v>
      </c>
      <c r="Y1" s="42" t="s">
        <v>6</v>
      </c>
      <c r="Z1" s="40" t="s">
        <v>5</v>
      </c>
      <c r="AA1" s="41" t="s">
        <v>4</v>
      </c>
      <c r="AB1" s="42" t="s">
        <v>29</v>
      </c>
      <c r="AC1" s="41" t="s">
        <v>9</v>
      </c>
      <c r="AD1" s="41" t="s">
        <v>8</v>
      </c>
      <c r="AE1" s="41" t="s">
        <v>7</v>
      </c>
      <c r="AF1" s="42" t="s">
        <v>6</v>
      </c>
      <c r="AG1" s="40" t="s">
        <v>5</v>
      </c>
      <c r="AH1" s="41" t="s">
        <v>4</v>
      </c>
      <c r="AI1" s="105" t="s">
        <v>31</v>
      </c>
      <c r="AJ1" s="95" t="s">
        <v>30</v>
      </c>
      <c r="AK1" s="97" t="s">
        <v>10</v>
      </c>
    </row>
    <row r="2" spans="1:37" x14ac:dyDescent="0.3">
      <c r="A2" s="93"/>
      <c r="B2" s="93"/>
      <c r="C2" s="94"/>
      <c r="D2" s="13">
        <v>1</v>
      </c>
      <c r="E2" s="14">
        <v>2</v>
      </c>
      <c r="F2" s="14">
        <v>3</v>
      </c>
      <c r="G2" s="14">
        <v>4</v>
      </c>
      <c r="H2" s="14">
        <v>5</v>
      </c>
      <c r="I2" s="14">
        <v>6</v>
      </c>
      <c r="J2" s="15">
        <v>7</v>
      </c>
      <c r="K2" s="14">
        <v>8</v>
      </c>
      <c r="L2" s="14">
        <v>9</v>
      </c>
      <c r="M2" s="14">
        <v>10</v>
      </c>
      <c r="N2" s="14">
        <v>11</v>
      </c>
      <c r="O2" s="14">
        <v>12</v>
      </c>
      <c r="P2" s="14">
        <v>13</v>
      </c>
      <c r="Q2" s="14">
        <v>14</v>
      </c>
      <c r="R2" s="14">
        <v>15</v>
      </c>
      <c r="S2" s="14">
        <v>16</v>
      </c>
      <c r="T2" s="14">
        <v>17</v>
      </c>
      <c r="U2" s="14">
        <v>18</v>
      </c>
      <c r="V2" s="14">
        <v>19</v>
      </c>
      <c r="W2" s="14">
        <v>20</v>
      </c>
      <c r="X2" s="14">
        <v>21</v>
      </c>
      <c r="Y2" s="14">
        <v>22</v>
      </c>
      <c r="Z2" s="14">
        <v>23</v>
      </c>
      <c r="AA2" s="14">
        <v>24</v>
      </c>
      <c r="AB2" s="14">
        <v>25</v>
      </c>
      <c r="AC2" s="13">
        <v>26</v>
      </c>
      <c r="AD2" s="14">
        <v>27</v>
      </c>
      <c r="AE2" s="15">
        <v>28</v>
      </c>
      <c r="AF2" s="14">
        <v>29</v>
      </c>
      <c r="AG2" s="15">
        <v>30</v>
      </c>
      <c r="AH2" s="14">
        <v>31</v>
      </c>
      <c r="AI2" s="106"/>
      <c r="AJ2" s="96"/>
      <c r="AK2" s="98"/>
    </row>
    <row r="3" spans="1:37" x14ac:dyDescent="0.3">
      <c r="A3" s="99" t="s">
        <v>28</v>
      </c>
      <c r="B3" s="100"/>
      <c r="C3" s="83" t="s">
        <v>0</v>
      </c>
      <c r="D3" s="17"/>
      <c r="E3" s="18"/>
      <c r="F3" s="18"/>
      <c r="G3" s="18"/>
      <c r="H3" s="18"/>
      <c r="I3" s="21"/>
      <c r="J3" s="19">
        <v>1122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>
        <v>1290</v>
      </c>
      <c r="Z3" s="18"/>
      <c r="AA3" s="18"/>
      <c r="AB3" s="18"/>
      <c r="AC3" s="17"/>
      <c r="AD3" s="18"/>
      <c r="AE3" s="20"/>
      <c r="AF3" s="18"/>
      <c r="AG3" s="20"/>
      <c r="AH3" s="18"/>
      <c r="AI3" s="107">
        <f>AJ3/30</f>
        <v>80.400000000000006</v>
      </c>
      <c r="AJ3" s="63">
        <f>SUM(D3:AH3)</f>
        <v>2412</v>
      </c>
      <c r="AK3" s="103">
        <v>100</v>
      </c>
    </row>
    <row r="4" spans="1:37" x14ac:dyDescent="0.3">
      <c r="A4" s="101"/>
      <c r="B4" s="102"/>
      <c r="C4" s="84" t="s">
        <v>12</v>
      </c>
      <c r="D4" s="21">
        <v>100</v>
      </c>
      <c r="E4" s="21"/>
      <c r="F4" s="21"/>
      <c r="G4" s="21"/>
      <c r="H4" s="21"/>
      <c r="I4" s="21"/>
      <c r="J4" s="22"/>
      <c r="K4" s="21"/>
      <c r="L4" s="21"/>
      <c r="M4" s="21">
        <v>140</v>
      </c>
      <c r="N4" s="21"/>
      <c r="O4" s="21">
        <v>60</v>
      </c>
      <c r="P4" s="21"/>
      <c r="Q4" s="21"/>
      <c r="R4" s="21"/>
      <c r="S4" s="21">
        <v>10</v>
      </c>
      <c r="T4" s="21"/>
      <c r="U4" s="21">
        <v>50</v>
      </c>
      <c r="V4" s="21"/>
      <c r="W4" s="21"/>
      <c r="X4" s="21"/>
      <c r="Y4" s="21"/>
      <c r="Z4" s="21"/>
      <c r="AA4" s="21"/>
      <c r="AB4" s="21"/>
      <c r="AC4" s="23"/>
      <c r="AD4" s="21"/>
      <c r="AE4" s="22"/>
      <c r="AF4" s="21"/>
      <c r="AG4" s="22">
        <v>15</v>
      </c>
      <c r="AH4" s="21"/>
      <c r="AI4" s="108"/>
      <c r="AJ4" s="63">
        <f>SUM(D4:AH4)</f>
        <v>375</v>
      </c>
      <c r="AK4" s="104"/>
    </row>
    <row r="5" spans="1:37" ht="18.75" customHeight="1" x14ac:dyDescent="0.3">
      <c r="A5" s="125" t="s">
        <v>27</v>
      </c>
      <c r="B5" s="115" t="s">
        <v>21</v>
      </c>
      <c r="C5" s="85" t="s">
        <v>13</v>
      </c>
      <c r="D5" s="24">
        <v>18</v>
      </c>
      <c r="E5" s="2">
        <v>60</v>
      </c>
      <c r="F5" s="2"/>
      <c r="G5" s="2"/>
      <c r="H5" s="2"/>
      <c r="I5" s="2">
        <v>6</v>
      </c>
      <c r="J5" s="25">
        <v>26</v>
      </c>
      <c r="K5" s="2">
        <v>7</v>
      </c>
      <c r="L5" s="2">
        <v>10</v>
      </c>
      <c r="M5" s="2">
        <v>29</v>
      </c>
      <c r="N5" s="2"/>
      <c r="O5" s="2">
        <v>11</v>
      </c>
      <c r="P5" s="2">
        <v>2</v>
      </c>
      <c r="Q5" s="2">
        <v>6</v>
      </c>
      <c r="R5" s="2">
        <v>70</v>
      </c>
      <c r="S5" s="2">
        <v>3</v>
      </c>
      <c r="T5" s="2"/>
      <c r="U5" s="2"/>
      <c r="V5" s="2">
        <v>6</v>
      </c>
      <c r="W5" s="2"/>
      <c r="X5" s="2"/>
      <c r="Y5" s="2">
        <v>17</v>
      </c>
      <c r="Z5" s="2">
        <v>18</v>
      </c>
      <c r="AA5" s="2">
        <v>100</v>
      </c>
      <c r="AB5" s="2"/>
      <c r="AC5" s="24">
        <v>18</v>
      </c>
      <c r="AD5" s="2">
        <v>73</v>
      </c>
      <c r="AE5" s="26"/>
      <c r="AF5" s="2">
        <v>24</v>
      </c>
      <c r="AG5" s="26">
        <v>17</v>
      </c>
      <c r="AH5" s="2">
        <v>6</v>
      </c>
      <c r="AI5" s="53">
        <f t="shared" ref="AI5:AI16" si="0">AJ5/31</f>
        <v>17</v>
      </c>
      <c r="AJ5" s="35">
        <f>SUM(D5,E5,F5,G5,H5,I5,J5,K5,L5,M5,N5,O5,P5,Q5,R5,S5,T5,U5,V5,W5,X5,Y5,Z5,AA5,AB5,AC5,AD5,AE5,AF5,AG5,AH5)</f>
        <v>527</v>
      </c>
      <c r="AK5" s="3">
        <f>(AJ5/(AJ3+AJ4))*100</f>
        <v>18.909221385001796</v>
      </c>
    </row>
    <row r="6" spans="1:37" x14ac:dyDescent="0.3">
      <c r="A6" s="126"/>
      <c r="B6" s="115"/>
      <c r="C6" s="86" t="s">
        <v>14</v>
      </c>
      <c r="D6" s="4"/>
      <c r="E6" s="4"/>
      <c r="F6" s="4"/>
      <c r="G6" s="4">
        <v>26</v>
      </c>
      <c r="H6" s="4"/>
      <c r="I6" s="4">
        <v>10</v>
      </c>
      <c r="J6" s="27"/>
      <c r="K6" s="4">
        <v>14</v>
      </c>
      <c r="L6" s="4">
        <v>9</v>
      </c>
      <c r="M6" s="4">
        <v>7</v>
      </c>
      <c r="N6" s="4">
        <v>20</v>
      </c>
      <c r="O6" s="4">
        <v>20</v>
      </c>
      <c r="P6" s="4"/>
      <c r="Q6" s="4"/>
      <c r="R6" s="4">
        <v>19</v>
      </c>
      <c r="S6" s="4">
        <v>24</v>
      </c>
      <c r="T6" s="4"/>
      <c r="U6" s="4">
        <v>20</v>
      </c>
      <c r="V6" s="4"/>
      <c r="W6" s="4">
        <v>14</v>
      </c>
      <c r="X6" s="4">
        <v>14</v>
      </c>
      <c r="Y6" s="4"/>
      <c r="Z6" s="4">
        <v>7</v>
      </c>
      <c r="AA6" s="4"/>
      <c r="AB6" s="4">
        <v>26</v>
      </c>
      <c r="AC6" s="28"/>
      <c r="AD6" s="4">
        <v>5</v>
      </c>
      <c r="AE6" s="27"/>
      <c r="AF6" s="4">
        <v>20</v>
      </c>
      <c r="AG6" s="27">
        <v>24</v>
      </c>
      <c r="AH6" s="4"/>
      <c r="AI6" s="54">
        <f t="shared" si="0"/>
        <v>9</v>
      </c>
      <c r="AJ6" s="36">
        <f>SUM(D6,E6,F6,G6,H6,I6,J6,K6,L6,M6,N6,O6,P6,Q6,R6,S6,T6,U6,V6,W6,X6,Y6,Z6,AA6,AB6,AC6,AD6,AE6,AF6,AG6,AH6)</f>
        <v>279</v>
      </c>
      <c r="AK6" s="5">
        <f>(AJ6/(AJ3+AJ4))*100</f>
        <v>10.010764262648008</v>
      </c>
    </row>
    <row r="7" spans="1:37" x14ac:dyDescent="0.3">
      <c r="A7" s="126"/>
      <c r="B7" s="115"/>
      <c r="C7" s="86" t="s">
        <v>15</v>
      </c>
      <c r="D7" s="28"/>
      <c r="E7" s="4"/>
      <c r="F7" s="4"/>
      <c r="G7" s="4"/>
      <c r="H7" s="4"/>
      <c r="I7" s="4"/>
      <c r="J7" s="27"/>
      <c r="K7" s="4"/>
      <c r="L7" s="4"/>
      <c r="M7" s="4"/>
      <c r="N7" s="4"/>
      <c r="O7" s="4"/>
      <c r="P7" s="4">
        <v>184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8"/>
      <c r="AD7" s="4"/>
      <c r="AE7" s="27"/>
      <c r="AF7" s="4"/>
      <c r="AG7" s="27"/>
      <c r="AH7" s="4"/>
      <c r="AI7" s="54">
        <f t="shared" si="0"/>
        <v>5.935483870967742</v>
      </c>
      <c r="AJ7" s="36">
        <f>SUM(D7,E7,F7,G7,H7,I7,J7,K7,L7,M7,N7,O7,P7,Q7,R7,S7,T7,U7,V7,W7,X7,Y7,Z7,AA7,AB7,AC7,AD7,AE7,AF7,AG7,AH7)</f>
        <v>184</v>
      </c>
      <c r="AK7" s="5">
        <f>(AJ7/(AJ3+AJ4))*100</f>
        <v>6.6020810907786149</v>
      </c>
    </row>
    <row r="8" spans="1:37" x14ac:dyDescent="0.3">
      <c r="A8" s="126"/>
      <c r="B8" s="115"/>
      <c r="C8" s="87" t="s">
        <v>16</v>
      </c>
      <c r="D8" s="48"/>
      <c r="E8" s="49"/>
      <c r="F8" s="49"/>
      <c r="G8" s="49"/>
      <c r="H8" s="49"/>
      <c r="I8" s="49">
        <v>24</v>
      </c>
      <c r="J8" s="50">
        <v>3</v>
      </c>
      <c r="K8" s="49"/>
      <c r="L8" s="49"/>
      <c r="M8" s="49"/>
      <c r="N8" s="49"/>
      <c r="O8" s="49"/>
      <c r="P8" s="49"/>
      <c r="Q8" s="49"/>
      <c r="R8" s="49">
        <v>4</v>
      </c>
      <c r="S8" s="49"/>
      <c r="T8" s="49"/>
      <c r="U8" s="49"/>
      <c r="V8" s="49"/>
      <c r="W8" s="49"/>
      <c r="X8" s="49">
        <v>10</v>
      </c>
      <c r="Y8" s="49"/>
      <c r="Z8" s="49"/>
      <c r="AA8" s="49"/>
      <c r="AB8" s="49"/>
      <c r="AC8" s="48"/>
      <c r="AD8" s="49">
        <v>19</v>
      </c>
      <c r="AE8" s="50"/>
      <c r="AF8" s="49"/>
      <c r="AG8" s="50"/>
      <c r="AH8" s="49"/>
      <c r="AI8" s="57">
        <f t="shared" si="0"/>
        <v>1.935483870967742</v>
      </c>
      <c r="AJ8" s="51">
        <f>SUM(D8,E8,F8,G8,H8,I8,J8,K8,L8,M8,N8,O8,P8,Q8,R8,S8,T8,U8,V8,W8,X8,Y8,Z8,AA8,AB8,AC8,AD8,AE8,AF8,AG8,AH8)</f>
        <v>60</v>
      </c>
      <c r="AK8" s="52">
        <f>(AJ8/(AJ3+AJ4))*100</f>
        <v>2.1528525296017222</v>
      </c>
    </row>
    <row r="9" spans="1:37" x14ac:dyDescent="0.3">
      <c r="A9" s="126"/>
      <c r="B9" s="115"/>
      <c r="C9" s="85" t="s">
        <v>1</v>
      </c>
      <c r="D9" s="24">
        <v>55</v>
      </c>
      <c r="E9" s="2"/>
      <c r="F9" s="2"/>
      <c r="G9" s="2"/>
      <c r="H9" s="2"/>
      <c r="I9" s="2"/>
      <c r="J9" s="25"/>
      <c r="K9" s="2"/>
      <c r="L9" s="2"/>
      <c r="M9" s="2"/>
      <c r="N9" s="2"/>
      <c r="O9" s="2"/>
      <c r="P9" s="2">
        <v>500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4"/>
      <c r="AD9" s="2"/>
      <c r="AE9" s="26">
        <v>90</v>
      </c>
      <c r="AF9" s="2"/>
      <c r="AG9" s="26"/>
      <c r="AH9" s="2"/>
      <c r="AI9" s="53">
        <f t="shared" si="0"/>
        <v>20.806451612903224</v>
      </c>
      <c r="AJ9" s="35">
        <f>SUM(D9,E9,F9,G9,H9,I9,J9,K9,L9,M9,N9,O9,P9,Q9,R9,S9,T9,U9,V9,W9,X9,Y9,Z9,AA9,AB9,AC9,AD9,AE9,AF9,AG9,AH9)</f>
        <v>645</v>
      </c>
      <c r="AK9" s="3">
        <f>(AJ9/(AJ3+AJ4))*100</f>
        <v>23.143164693218516</v>
      </c>
    </row>
    <row r="10" spans="1:37" x14ac:dyDescent="0.3">
      <c r="A10" s="126"/>
      <c r="B10" s="115"/>
      <c r="C10" s="86" t="s">
        <v>17</v>
      </c>
      <c r="D10" s="4"/>
      <c r="E10" s="4"/>
      <c r="F10" s="4"/>
      <c r="G10" s="4"/>
      <c r="H10" s="4"/>
      <c r="I10" s="4"/>
      <c r="J10" s="27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8"/>
      <c r="AD10" s="4"/>
      <c r="AE10" s="27"/>
      <c r="AF10" s="4"/>
      <c r="AG10" s="27"/>
      <c r="AH10" s="4"/>
      <c r="AI10" s="54">
        <f t="shared" si="0"/>
        <v>0</v>
      </c>
      <c r="AJ10" s="36">
        <f t="shared" ref="AJ10:AJ15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x14ac:dyDescent="0.3">
      <c r="A11" s="126"/>
      <c r="B11" s="115"/>
      <c r="C11" s="86" t="s">
        <v>18</v>
      </c>
      <c r="D11" s="24"/>
      <c r="E11" s="2">
        <v>45</v>
      </c>
      <c r="F11" s="2"/>
      <c r="G11" s="2"/>
      <c r="H11" s="2"/>
      <c r="I11" s="2"/>
      <c r="J11" s="25"/>
      <c r="K11" s="2"/>
      <c r="L11" s="2">
        <v>10</v>
      </c>
      <c r="M11" s="2">
        <v>150</v>
      </c>
      <c r="N11" s="2"/>
      <c r="O11" s="2"/>
      <c r="P11" s="2"/>
      <c r="Q11" s="2"/>
      <c r="R11" s="2">
        <v>113</v>
      </c>
      <c r="S11" s="2"/>
      <c r="T11" s="2"/>
      <c r="U11" s="2"/>
      <c r="V11" s="2">
        <v>2</v>
      </c>
      <c r="W11" s="2"/>
      <c r="X11" s="2"/>
      <c r="Y11" s="2"/>
      <c r="Z11" s="2"/>
      <c r="AA11" s="2"/>
      <c r="AB11" s="2"/>
      <c r="AC11" s="24"/>
      <c r="AD11" s="2"/>
      <c r="AE11" s="26"/>
      <c r="AF11" s="2"/>
      <c r="AG11" s="26"/>
      <c r="AH11" s="2"/>
      <c r="AI11" s="53">
        <f t="shared" si="0"/>
        <v>10.32258064516129</v>
      </c>
      <c r="AJ11" s="35">
        <f t="shared" si="1"/>
        <v>320</v>
      </c>
      <c r="AK11" s="3">
        <f>(AJ11/(AJ3+AJ4))*100</f>
        <v>11.481880157875853</v>
      </c>
    </row>
    <row r="12" spans="1:37" ht="18.75" customHeight="1" x14ac:dyDescent="0.3">
      <c r="A12" s="126"/>
      <c r="B12" s="137" t="s">
        <v>22</v>
      </c>
      <c r="C12" s="88" t="s">
        <v>2</v>
      </c>
      <c r="D12" s="6">
        <v>58</v>
      </c>
      <c r="E12" s="6"/>
      <c r="F12" s="6"/>
      <c r="G12" s="6"/>
      <c r="H12" s="6"/>
      <c r="I12" s="6"/>
      <c r="J12" s="29"/>
      <c r="K12" s="6">
        <v>11</v>
      </c>
      <c r="L12" s="6">
        <v>30</v>
      </c>
      <c r="M12" s="6">
        <v>60</v>
      </c>
      <c r="N12" s="6">
        <v>21</v>
      </c>
      <c r="O12" s="6"/>
      <c r="P12" s="6"/>
      <c r="Q12" s="6">
        <v>37</v>
      </c>
      <c r="R12" s="6">
        <v>11</v>
      </c>
      <c r="S12" s="6">
        <v>5</v>
      </c>
      <c r="T12" s="6"/>
      <c r="U12" s="6"/>
      <c r="V12" s="6"/>
      <c r="W12" s="6"/>
      <c r="X12" s="6">
        <v>10</v>
      </c>
      <c r="Y12" s="6"/>
      <c r="Z12" s="6">
        <v>25</v>
      </c>
      <c r="AA12" s="6"/>
      <c r="AB12" s="6">
        <v>12</v>
      </c>
      <c r="AC12" s="30">
        <v>6</v>
      </c>
      <c r="AD12" s="6"/>
      <c r="AE12" s="29"/>
      <c r="AF12" s="6">
        <v>11</v>
      </c>
      <c r="AG12" s="29">
        <v>22</v>
      </c>
      <c r="AH12" s="6">
        <v>75</v>
      </c>
      <c r="AI12" s="55">
        <f t="shared" si="0"/>
        <v>12.709677419354838</v>
      </c>
      <c r="AJ12" s="37">
        <f>SUM(D12,E12,F12,G12,H12,I12,J12,K12,L12,M12,N12,O12,P12,Q12,R12,S12,T12,U12,V12,W12,X12,Y12,Z12,AA12,AB12,AC12,AD12,AE12,AF12,AG12,AH12)</f>
        <v>394</v>
      </c>
      <c r="AK12" s="7">
        <f>(AJ12/(AJ3+AJ4))*100</f>
        <v>14.137064944384642</v>
      </c>
    </row>
    <row r="13" spans="1:37" ht="18" customHeight="1" x14ac:dyDescent="0.3">
      <c r="A13" s="126"/>
      <c r="B13" s="138"/>
      <c r="C13" s="88" t="s">
        <v>32</v>
      </c>
      <c r="D13" s="31"/>
      <c r="E13" s="8"/>
      <c r="F13" s="8"/>
      <c r="G13" s="8"/>
      <c r="H13" s="8"/>
      <c r="I13" s="8"/>
      <c r="J13" s="32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>
        <v>5</v>
      </c>
      <c r="Y13" s="8"/>
      <c r="Z13" s="8"/>
      <c r="AA13" s="8"/>
      <c r="AB13" s="8">
        <v>6</v>
      </c>
      <c r="AC13" s="31"/>
      <c r="AD13" s="8"/>
      <c r="AE13" s="33"/>
      <c r="AF13" s="8"/>
      <c r="AG13" s="33"/>
      <c r="AH13" s="8"/>
      <c r="AI13" s="56">
        <f t="shared" si="0"/>
        <v>0.35483870967741937</v>
      </c>
      <c r="AJ13" s="38">
        <f t="shared" si="1"/>
        <v>11</v>
      </c>
      <c r="AK13" s="9">
        <f>(AJ13/(AJ3+AJ4))*100</f>
        <v>0.39468963042698241</v>
      </c>
    </row>
    <row r="14" spans="1:37" ht="19.5" customHeight="1" x14ac:dyDescent="0.3">
      <c r="A14" s="126"/>
      <c r="B14" s="138"/>
      <c r="C14" s="82" t="s">
        <v>19</v>
      </c>
      <c r="D14" s="6"/>
      <c r="E14" s="6"/>
      <c r="F14" s="6"/>
      <c r="G14" s="6">
        <v>35</v>
      </c>
      <c r="H14" s="6"/>
      <c r="I14" s="6"/>
      <c r="J14" s="29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115</v>
      </c>
      <c r="AC14" s="30"/>
      <c r="AD14" s="6"/>
      <c r="AE14" s="29"/>
      <c r="AF14" s="6"/>
      <c r="AG14" s="29"/>
      <c r="AH14" s="6"/>
      <c r="AI14" s="55">
        <f t="shared" si="0"/>
        <v>4.838709677419355</v>
      </c>
      <c r="AJ14" s="37">
        <f t="shared" si="1"/>
        <v>150</v>
      </c>
      <c r="AK14" s="7">
        <f>(AJ14/(AJ3+AJ4))*100</f>
        <v>5.3821313240043054</v>
      </c>
    </row>
    <row r="15" spans="1:37" x14ac:dyDescent="0.3">
      <c r="A15" s="126"/>
      <c r="B15" s="139"/>
      <c r="C15" s="88" t="s">
        <v>20</v>
      </c>
      <c r="D15" s="6"/>
      <c r="E15" s="6">
        <v>10</v>
      </c>
      <c r="F15" s="6"/>
      <c r="G15" s="6"/>
      <c r="H15" s="6"/>
      <c r="I15" s="6"/>
      <c r="J15" s="29"/>
      <c r="K15" s="6"/>
      <c r="L15" s="6">
        <v>60</v>
      </c>
      <c r="M15" s="6"/>
      <c r="N15" s="6"/>
      <c r="O15" s="6"/>
      <c r="P15" s="6"/>
      <c r="Q15" s="6"/>
      <c r="R15" s="6"/>
      <c r="S15" s="6">
        <v>50</v>
      </c>
      <c r="T15" s="6"/>
      <c r="U15" s="6"/>
      <c r="V15" s="6"/>
      <c r="W15" s="6"/>
      <c r="X15" s="6"/>
      <c r="Y15" s="6"/>
      <c r="Z15" s="6"/>
      <c r="AA15" s="6"/>
      <c r="AB15" s="6"/>
      <c r="AC15" s="30"/>
      <c r="AD15" s="6"/>
      <c r="AE15" s="29"/>
      <c r="AF15" s="6"/>
      <c r="AG15" s="29"/>
      <c r="AH15" s="6"/>
      <c r="AI15" s="55">
        <f t="shared" si="0"/>
        <v>3.870967741935484</v>
      </c>
      <c r="AJ15" s="37">
        <f t="shared" si="1"/>
        <v>120</v>
      </c>
      <c r="AK15" s="7">
        <f>(AJ15/(AJ3+AJ4))*100</f>
        <v>4.3057050592034445</v>
      </c>
    </row>
    <row r="16" spans="1:37" x14ac:dyDescent="0.3">
      <c r="A16" s="127"/>
      <c r="B16" s="119" t="s">
        <v>23</v>
      </c>
      <c r="C16" s="120"/>
      <c r="D16" s="119">
        <f>SUM(D5:G15)+336</f>
        <v>643</v>
      </c>
      <c r="E16" s="120"/>
      <c r="F16" s="120"/>
      <c r="G16" s="124"/>
      <c r="H16" s="119">
        <f>SUM(H5:N15)</f>
        <v>507</v>
      </c>
      <c r="I16" s="120"/>
      <c r="J16" s="120"/>
      <c r="K16" s="120"/>
      <c r="L16" s="120"/>
      <c r="M16" s="120"/>
      <c r="N16" s="124"/>
      <c r="O16" s="119">
        <f>SUM(O5:U15)</f>
        <v>1079</v>
      </c>
      <c r="P16" s="120"/>
      <c r="Q16" s="120"/>
      <c r="R16" s="120"/>
      <c r="S16" s="120"/>
      <c r="T16" s="120"/>
      <c r="U16" s="124"/>
      <c r="V16" s="119">
        <f>SUM(V5:AB15)</f>
        <v>387</v>
      </c>
      <c r="W16" s="120"/>
      <c r="X16" s="120"/>
      <c r="Y16" s="120"/>
      <c r="Z16" s="120"/>
      <c r="AA16" s="120"/>
      <c r="AB16" s="124"/>
      <c r="AC16" s="119">
        <f>SUM(AC5:AH15)+7</f>
        <v>417</v>
      </c>
      <c r="AD16" s="120"/>
      <c r="AE16" s="120"/>
      <c r="AF16" s="120"/>
      <c r="AG16" s="120"/>
      <c r="AH16" s="124"/>
      <c r="AI16" s="65">
        <f t="shared" si="0"/>
        <v>86.774193548387103</v>
      </c>
      <c r="AJ16" s="64">
        <f>SUM(AJ5,AJ6,AJ7,AJ8,AJ9,AJ10,AJ11,AJ12,AJ13,AJ14,AJ15)</f>
        <v>2690</v>
      </c>
      <c r="AK16" s="10">
        <f>SUM(AK5,AK6,AK7,AK8,AK9,AK10,AK11,AK12,AK13,AK14,AK15)</f>
        <v>96.519555077143892</v>
      </c>
    </row>
    <row r="17" spans="1:37" x14ac:dyDescent="0.3">
      <c r="A17" s="121" t="s">
        <v>11</v>
      </c>
      <c r="B17" s="121"/>
      <c r="C17" s="122"/>
      <c r="D17" s="123">
        <v>3472</v>
      </c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2"/>
      <c r="AK17" s="62"/>
    </row>
    <row r="18" spans="1:37" x14ac:dyDescent="0.3">
      <c r="A18" s="109" t="s">
        <v>24</v>
      </c>
      <c r="B18" s="109"/>
      <c r="C18" s="110"/>
      <c r="D18" s="111">
        <f>(AJ3+AJ4+D17)-AJ16</f>
        <v>3569</v>
      </c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2"/>
      <c r="AK18" s="34">
        <f>((AJ3+AJ4-AJ16)/(AJ3+AJ4))*100</f>
        <v>3.4804449228561176</v>
      </c>
    </row>
  </sheetData>
  <mergeCells count="20">
    <mergeCell ref="A18:C18"/>
    <mergeCell ref="D18:AJ18"/>
    <mergeCell ref="A5:A16"/>
    <mergeCell ref="B5:B11"/>
    <mergeCell ref="B12:B15"/>
    <mergeCell ref="B16:C16"/>
    <mergeCell ref="A17:C17"/>
    <mergeCell ref="D17:AJ17"/>
    <mergeCell ref="D16:G16"/>
    <mergeCell ref="H16:N16"/>
    <mergeCell ref="O16:U16"/>
    <mergeCell ref="V16:AB16"/>
    <mergeCell ref="AC16:AH16"/>
    <mergeCell ref="A1:C2"/>
    <mergeCell ref="AI1:AI2"/>
    <mergeCell ref="AJ1:AJ2"/>
    <mergeCell ref="AK1:AK2"/>
    <mergeCell ref="A3:B4"/>
    <mergeCell ref="AI3:AI4"/>
    <mergeCell ref="AK3:AK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18"/>
  <sheetViews>
    <sheetView zoomScale="80" zoomScaleNormal="80" workbookViewId="0">
      <selection activeCell="B12" sqref="B12:B15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2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75" customHeight="1" x14ac:dyDescent="0.3">
      <c r="A1" s="91"/>
      <c r="B1" s="91"/>
      <c r="C1" s="92"/>
      <c r="D1" s="42" t="s">
        <v>29</v>
      </c>
      <c r="E1" s="41" t="s">
        <v>9</v>
      </c>
      <c r="F1" s="41" t="s">
        <v>8</v>
      </c>
      <c r="G1" s="41" t="s">
        <v>7</v>
      </c>
      <c r="H1" s="42" t="s">
        <v>6</v>
      </c>
      <c r="I1" s="67" t="s">
        <v>5</v>
      </c>
      <c r="J1" s="41" t="s">
        <v>4</v>
      </c>
      <c r="K1" s="42" t="s">
        <v>29</v>
      </c>
      <c r="L1" s="41" t="s">
        <v>9</v>
      </c>
      <c r="M1" s="41" t="s">
        <v>8</v>
      </c>
      <c r="N1" s="41" t="s">
        <v>7</v>
      </c>
      <c r="O1" s="42" t="s">
        <v>6</v>
      </c>
      <c r="P1" s="67" t="s">
        <v>5</v>
      </c>
      <c r="Q1" s="41" t="s">
        <v>4</v>
      </c>
      <c r="R1" s="42" t="s">
        <v>29</v>
      </c>
      <c r="S1" s="41" t="s">
        <v>9</v>
      </c>
      <c r="T1" s="41" t="s">
        <v>8</v>
      </c>
      <c r="U1" s="41" t="s">
        <v>7</v>
      </c>
      <c r="V1" s="42" t="s">
        <v>6</v>
      </c>
      <c r="W1" s="67" t="s">
        <v>5</v>
      </c>
      <c r="X1" s="41" t="s">
        <v>4</v>
      </c>
      <c r="Y1" s="42" t="s">
        <v>29</v>
      </c>
      <c r="Z1" s="41" t="s">
        <v>9</v>
      </c>
      <c r="AA1" s="41" t="s">
        <v>8</v>
      </c>
      <c r="AB1" s="41" t="s">
        <v>7</v>
      </c>
      <c r="AC1" s="42" t="s">
        <v>6</v>
      </c>
      <c r="AD1" s="67" t="s">
        <v>5</v>
      </c>
      <c r="AE1" s="41" t="s">
        <v>4</v>
      </c>
      <c r="AF1" s="42" t="s">
        <v>29</v>
      </c>
      <c r="AG1" s="41" t="s">
        <v>9</v>
      </c>
      <c r="AH1" s="41"/>
      <c r="AI1" s="105" t="s">
        <v>31</v>
      </c>
      <c r="AJ1" s="95" t="s">
        <v>30</v>
      </c>
      <c r="AK1" s="97" t="s">
        <v>10</v>
      </c>
    </row>
    <row r="2" spans="1:37" x14ac:dyDescent="0.3">
      <c r="A2" s="93"/>
      <c r="B2" s="93"/>
      <c r="C2" s="94"/>
      <c r="D2" s="13">
        <v>1</v>
      </c>
      <c r="E2" s="14">
        <v>2</v>
      </c>
      <c r="F2" s="14">
        <v>3</v>
      </c>
      <c r="G2" s="14">
        <v>4</v>
      </c>
      <c r="H2" s="14">
        <v>5</v>
      </c>
      <c r="I2" s="14">
        <v>6</v>
      </c>
      <c r="J2" s="15">
        <v>7</v>
      </c>
      <c r="K2" s="14">
        <v>8</v>
      </c>
      <c r="L2" s="14">
        <v>9</v>
      </c>
      <c r="M2" s="14">
        <v>10</v>
      </c>
      <c r="N2" s="14">
        <v>11</v>
      </c>
      <c r="O2" s="14">
        <v>12</v>
      </c>
      <c r="P2" s="14">
        <v>13</v>
      </c>
      <c r="Q2" s="14">
        <v>14</v>
      </c>
      <c r="R2" s="14">
        <v>15</v>
      </c>
      <c r="S2" s="14">
        <v>16</v>
      </c>
      <c r="T2" s="14">
        <v>17</v>
      </c>
      <c r="U2" s="14">
        <v>18</v>
      </c>
      <c r="V2" s="14">
        <v>19</v>
      </c>
      <c r="W2" s="14">
        <v>20</v>
      </c>
      <c r="X2" s="14">
        <v>21</v>
      </c>
      <c r="Y2" s="14">
        <v>22</v>
      </c>
      <c r="Z2" s="14">
        <v>23</v>
      </c>
      <c r="AA2" s="14">
        <v>24</v>
      </c>
      <c r="AB2" s="14">
        <v>25</v>
      </c>
      <c r="AC2" s="13">
        <v>26</v>
      </c>
      <c r="AD2" s="14">
        <v>27</v>
      </c>
      <c r="AE2" s="15">
        <v>28</v>
      </c>
      <c r="AF2" s="14">
        <v>29</v>
      </c>
      <c r="AG2" s="15">
        <v>30</v>
      </c>
      <c r="AH2" s="14">
        <v>31</v>
      </c>
      <c r="AI2" s="106"/>
      <c r="AJ2" s="96"/>
      <c r="AK2" s="98"/>
    </row>
    <row r="3" spans="1:37" x14ac:dyDescent="0.3">
      <c r="A3" s="99" t="s">
        <v>28</v>
      </c>
      <c r="B3" s="100"/>
      <c r="C3" s="83" t="s">
        <v>0</v>
      </c>
      <c r="D3" s="17"/>
      <c r="E3" s="18"/>
      <c r="F3" s="18"/>
      <c r="G3" s="18"/>
      <c r="H3" s="18"/>
      <c r="I3" s="21">
        <v>1350</v>
      </c>
      <c r="J3" s="19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>
        <v>1150</v>
      </c>
      <c r="X3" s="18"/>
      <c r="Y3" s="18"/>
      <c r="Z3" s="18"/>
      <c r="AA3" s="18"/>
      <c r="AB3" s="18"/>
      <c r="AC3" s="17"/>
      <c r="AD3" s="18"/>
      <c r="AE3" s="20"/>
      <c r="AF3" s="18"/>
      <c r="AG3" s="20"/>
      <c r="AH3" s="18"/>
      <c r="AI3" s="107">
        <f>AJ3/30</f>
        <v>83.333333333333329</v>
      </c>
      <c r="AJ3" s="63">
        <f>SUM(D3:AH3)</f>
        <v>2500</v>
      </c>
      <c r="AK3" s="103">
        <v>100</v>
      </c>
    </row>
    <row r="4" spans="1:37" x14ac:dyDescent="0.3">
      <c r="A4" s="101"/>
      <c r="B4" s="102"/>
      <c r="C4" s="84" t="s">
        <v>12</v>
      </c>
      <c r="D4" s="21"/>
      <c r="E4" s="21">
        <v>20</v>
      </c>
      <c r="F4" s="21"/>
      <c r="G4" s="21"/>
      <c r="H4" s="21"/>
      <c r="I4" s="21"/>
      <c r="J4" s="22"/>
      <c r="K4" s="21"/>
      <c r="L4" s="21"/>
      <c r="M4" s="21"/>
      <c r="N4" s="21"/>
      <c r="O4" s="21"/>
      <c r="P4" s="21"/>
      <c r="Q4" s="21"/>
      <c r="R4" s="21"/>
      <c r="S4" s="21"/>
      <c r="T4" s="21">
        <v>45</v>
      </c>
      <c r="U4" s="21"/>
      <c r="V4" s="21"/>
      <c r="W4" s="21"/>
      <c r="X4" s="21">
        <v>13</v>
      </c>
      <c r="Y4" s="21">
        <v>40</v>
      </c>
      <c r="Z4" s="21"/>
      <c r="AA4" s="21"/>
      <c r="AB4" s="21"/>
      <c r="AC4" s="23"/>
      <c r="AD4" s="21">
        <v>25</v>
      </c>
      <c r="AE4" s="22"/>
      <c r="AF4" s="21">
        <v>25</v>
      </c>
      <c r="AG4" s="22"/>
      <c r="AH4" s="21"/>
      <c r="AI4" s="108"/>
      <c r="AJ4" s="63">
        <f>SUM(D4:AH4)</f>
        <v>168</v>
      </c>
      <c r="AK4" s="104"/>
    </row>
    <row r="5" spans="1:37" ht="18.75" customHeight="1" x14ac:dyDescent="0.3">
      <c r="A5" s="125" t="s">
        <v>27</v>
      </c>
      <c r="B5" s="115" t="s">
        <v>21</v>
      </c>
      <c r="C5" s="85" t="s">
        <v>13</v>
      </c>
      <c r="D5" s="24"/>
      <c r="E5" s="2"/>
      <c r="F5" s="2"/>
      <c r="G5" s="2"/>
      <c r="H5" s="2"/>
      <c r="I5" s="2"/>
      <c r="J5" s="25"/>
      <c r="K5" s="2"/>
      <c r="L5" s="2"/>
      <c r="M5" s="2">
        <v>6</v>
      </c>
      <c r="N5" s="2">
        <v>11</v>
      </c>
      <c r="O5" s="2"/>
      <c r="P5" s="2"/>
      <c r="Q5" s="2"/>
      <c r="R5" s="2">
        <v>40</v>
      </c>
      <c r="S5" s="2">
        <v>26</v>
      </c>
      <c r="T5" s="2">
        <v>5</v>
      </c>
      <c r="U5" s="2">
        <v>40</v>
      </c>
      <c r="V5" s="2">
        <v>9</v>
      </c>
      <c r="W5" s="2">
        <v>100</v>
      </c>
      <c r="X5" s="2"/>
      <c r="Y5" s="2"/>
      <c r="Z5" s="2">
        <v>44</v>
      </c>
      <c r="AA5" s="2">
        <v>3</v>
      </c>
      <c r="AB5" s="2"/>
      <c r="AC5" s="24">
        <v>8</v>
      </c>
      <c r="AD5" s="2">
        <v>16</v>
      </c>
      <c r="AE5" s="26"/>
      <c r="AF5" s="2"/>
      <c r="AG5" s="26">
        <v>4</v>
      </c>
      <c r="AH5" s="2"/>
      <c r="AI5" s="53">
        <f t="shared" ref="AI5:AI16" si="0">AJ5/31</f>
        <v>10.064516129032258</v>
      </c>
      <c r="AJ5" s="35">
        <f>SUM(D5,E5,F5,G5,H5,I5,J5,K5,L5,M5,N5,O5,P5,Q5,R5,S5,T5,U5,V5,W5,X5,Y5,Z5,AA5,AB5,AC5,AD5,AE5,AF5,AG5,AH5)</f>
        <v>312</v>
      </c>
      <c r="AK5" s="3">
        <f>(AJ5/(AJ3+AJ4))*100</f>
        <v>11.694152923538232</v>
      </c>
    </row>
    <row r="6" spans="1:37" x14ac:dyDescent="0.3">
      <c r="A6" s="126"/>
      <c r="B6" s="115"/>
      <c r="C6" s="86" t="s">
        <v>14</v>
      </c>
      <c r="D6" s="4"/>
      <c r="E6" s="4">
        <v>30</v>
      </c>
      <c r="F6" s="4">
        <v>10</v>
      </c>
      <c r="G6" s="4"/>
      <c r="H6" s="4"/>
      <c r="I6" s="4"/>
      <c r="J6" s="27">
        <v>12</v>
      </c>
      <c r="K6" s="4">
        <v>6</v>
      </c>
      <c r="L6" s="4">
        <v>6</v>
      </c>
      <c r="M6" s="4">
        <v>4</v>
      </c>
      <c r="N6" s="4">
        <v>6</v>
      </c>
      <c r="O6" s="4">
        <v>7</v>
      </c>
      <c r="P6" s="4">
        <v>9</v>
      </c>
      <c r="Q6" s="4"/>
      <c r="R6" s="4">
        <v>6</v>
      </c>
      <c r="S6" s="4"/>
      <c r="T6" s="4">
        <v>10</v>
      </c>
      <c r="U6" s="4"/>
      <c r="V6" s="4"/>
      <c r="W6" s="4">
        <v>4</v>
      </c>
      <c r="X6" s="4">
        <v>20</v>
      </c>
      <c r="Y6" s="4">
        <v>24</v>
      </c>
      <c r="Z6" s="4">
        <v>9</v>
      </c>
      <c r="AA6" s="4">
        <v>5</v>
      </c>
      <c r="AB6" s="4">
        <v>33</v>
      </c>
      <c r="AC6" s="28">
        <v>6</v>
      </c>
      <c r="AD6" s="4">
        <v>24</v>
      </c>
      <c r="AE6" s="27"/>
      <c r="AF6" s="4">
        <v>20</v>
      </c>
      <c r="AG6" s="27">
        <v>19</v>
      </c>
      <c r="AH6" s="4"/>
      <c r="AI6" s="54">
        <f t="shared" si="0"/>
        <v>8.7096774193548381</v>
      </c>
      <c r="AJ6" s="36">
        <f>SUM(D6,E6,F6,G6,H6,I6,J6,K6,L6,M6,N6,O6,P6,Q6,R6,S6,T6,U6,V6,W6,X6,Y6,Z6,AA6,AB6,AC6,AD6,AE6,AF6,AG6,AH6)</f>
        <v>270</v>
      </c>
      <c r="AK6" s="5">
        <f>(AJ6/(AJ3+AJ4))*100</f>
        <v>10.119940029985006</v>
      </c>
    </row>
    <row r="7" spans="1:37" x14ac:dyDescent="0.3">
      <c r="A7" s="126"/>
      <c r="B7" s="115"/>
      <c r="C7" s="86" t="s">
        <v>15</v>
      </c>
      <c r="D7" s="28"/>
      <c r="E7" s="4"/>
      <c r="F7" s="4"/>
      <c r="G7" s="4">
        <v>60</v>
      </c>
      <c r="H7" s="4"/>
      <c r="I7" s="4"/>
      <c r="J7" s="27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>
        <v>14</v>
      </c>
      <c r="Z7" s="4"/>
      <c r="AA7" s="4"/>
      <c r="AB7" s="4"/>
      <c r="AC7" s="28"/>
      <c r="AD7" s="4"/>
      <c r="AE7" s="27"/>
      <c r="AF7" s="4"/>
      <c r="AG7" s="27"/>
      <c r="AH7" s="4"/>
      <c r="AI7" s="54">
        <f t="shared" si="0"/>
        <v>2.3870967741935485</v>
      </c>
      <c r="AJ7" s="36">
        <f>SUM(D7,E7,F7,G7,H7,I7,J7,K7,L7,M7,N7,O7,P7,Q7,R7,S7,T7,U7,V7,W7,X7,Y7,Z7,AA7,AB7,AC7,AD7,AE7,AF7,AG7,AH7)</f>
        <v>74</v>
      </c>
      <c r="AK7" s="5">
        <f>(AJ7/(AJ3+AJ4))*100</f>
        <v>2.7736131934032984</v>
      </c>
    </row>
    <row r="8" spans="1:37" x14ac:dyDescent="0.3">
      <c r="A8" s="126"/>
      <c r="B8" s="115"/>
      <c r="C8" s="87" t="s">
        <v>16</v>
      </c>
      <c r="D8" s="48"/>
      <c r="E8" s="49"/>
      <c r="F8" s="49"/>
      <c r="G8" s="49">
        <v>5</v>
      </c>
      <c r="H8" s="49"/>
      <c r="I8" s="49">
        <v>2</v>
      </c>
      <c r="J8" s="50"/>
      <c r="K8" s="49"/>
      <c r="L8" s="49"/>
      <c r="M8" s="49"/>
      <c r="N8" s="49">
        <v>65</v>
      </c>
      <c r="O8" s="49">
        <v>3</v>
      </c>
      <c r="P8" s="49"/>
      <c r="Q8" s="49"/>
      <c r="R8" s="49"/>
      <c r="S8" s="49"/>
      <c r="T8" s="49">
        <v>9</v>
      </c>
      <c r="U8" s="49"/>
      <c r="V8" s="49"/>
      <c r="W8" s="49"/>
      <c r="X8" s="49"/>
      <c r="Y8" s="49"/>
      <c r="Z8" s="49"/>
      <c r="AA8" s="49"/>
      <c r="AB8" s="49"/>
      <c r="AC8" s="48">
        <v>6</v>
      </c>
      <c r="AD8" s="49"/>
      <c r="AE8" s="50"/>
      <c r="AF8" s="49"/>
      <c r="AG8" s="50"/>
      <c r="AH8" s="49"/>
      <c r="AI8" s="57">
        <f t="shared" si="0"/>
        <v>2.903225806451613</v>
      </c>
      <c r="AJ8" s="51">
        <f>SUM(D8,E8,F8,G8,H8,I8,J8,K8,L8,M8,N8,O8,P8,Q8,R8,S8,T8,U8,V8,W8,X8,Y8,Z8,AA8,AB8,AC8,AD8,AE8,AF8,AG8,AH8)</f>
        <v>90</v>
      </c>
      <c r="AK8" s="52">
        <f>(AJ8/(AJ3+AJ4))*100</f>
        <v>3.373313343328336</v>
      </c>
    </row>
    <row r="9" spans="1:37" x14ac:dyDescent="0.3">
      <c r="A9" s="126"/>
      <c r="B9" s="115"/>
      <c r="C9" s="85" t="s">
        <v>1</v>
      </c>
      <c r="D9" s="24"/>
      <c r="E9" s="2"/>
      <c r="F9" s="2"/>
      <c r="G9" s="2"/>
      <c r="H9" s="2"/>
      <c r="I9" s="2"/>
      <c r="J9" s="25"/>
      <c r="K9" s="2"/>
      <c r="L9" s="2"/>
      <c r="M9" s="2"/>
      <c r="N9" s="2"/>
      <c r="O9" s="2"/>
      <c r="P9" s="2"/>
      <c r="Q9" s="2"/>
      <c r="R9" s="2"/>
      <c r="S9" s="2"/>
      <c r="T9" s="2">
        <v>375</v>
      </c>
      <c r="U9" s="2"/>
      <c r="V9" s="2"/>
      <c r="W9" s="2"/>
      <c r="X9" s="2"/>
      <c r="Y9" s="2"/>
      <c r="Z9" s="2">
        <v>250</v>
      </c>
      <c r="AA9" s="2"/>
      <c r="AB9" s="2"/>
      <c r="AC9" s="24"/>
      <c r="AD9" s="2"/>
      <c r="AE9" s="26"/>
      <c r="AF9" s="2">
        <v>200</v>
      </c>
      <c r="AG9" s="26"/>
      <c r="AH9" s="2"/>
      <c r="AI9" s="53">
        <f t="shared" si="0"/>
        <v>26.612903225806452</v>
      </c>
      <c r="AJ9" s="35">
        <f>SUM(D9,E9,F9,G9,H9,I9,J9,K9,L9,M9,N9,O9,P9,Q9,R9,S9,T9,U9,V9,W9,X9,Y9,Z9,AA9,AB9,AC9,AD9,AE9,AF9,AG9,AH9)</f>
        <v>825</v>
      </c>
      <c r="AK9" s="3">
        <f>(AJ9/(AJ3+AJ4))*100</f>
        <v>30.922038980509747</v>
      </c>
    </row>
    <row r="10" spans="1:37" x14ac:dyDescent="0.3">
      <c r="A10" s="126"/>
      <c r="B10" s="115"/>
      <c r="C10" s="86" t="s">
        <v>17</v>
      </c>
      <c r="D10" s="4"/>
      <c r="E10" s="4"/>
      <c r="F10" s="4"/>
      <c r="G10" s="4"/>
      <c r="H10" s="4"/>
      <c r="I10" s="4"/>
      <c r="J10" s="27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8"/>
      <c r="AD10" s="4"/>
      <c r="AE10" s="27"/>
      <c r="AF10" s="4"/>
      <c r="AG10" s="27"/>
      <c r="AH10" s="4"/>
      <c r="AI10" s="54">
        <f t="shared" si="0"/>
        <v>0</v>
      </c>
      <c r="AJ10" s="36">
        <f t="shared" ref="AJ10:AJ15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x14ac:dyDescent="0.3">
      <c r="A11" s="126"/>
      <c r="B11" s="115"/>
      <c r="C11" s="86" t="s">
        <v>18</v>
      </c>
      <c r="D11" s="24"/>
      <c r="E11" s="2"/>
      <c r="F11" s="2"/>
      <c r="G11" s="2"/>
      <c r="H11" s="2"/>
      <c r="I11" s="2"/>
      <c r="J11" s="25"/>
      <c r="K11" s="2"/>
      <c r="L11" s="2"/>
      <c r="M11" s="2">
        <v>70</v>
      </c>
      <c r="N11" s="2"/>
      <c r="O11" s="2"/>
      <c r="P11" s="2"/>
      <c r="Q11" s="2"/>
      <c r="R11" s="2">
        <v>20</v>
      </c>
      <c r="S11" s="2"/>
      <c r="T11" s="2"/>
      <c r="U11" s="2"/>
      <c r="V11" s="2"/>
      <c r="W11" s="2"/>
      <c r="X11" s="2">
        <v>69</v>
      </c>
      <c r="Y11" s="2"/>
      <c r="Z11" s="2"/>
      <c r="AA11" s="2"/>
      <c r="AB11" s="2">
        <v>40</v>
      </c>
      <c r="AC11" s="24"/>
      <c r="AD11" s="2">
        <v>22</v>
      </c>
      <c r="AE11" s="26"/>
      <c r="AF11" s="2"/>
      <c r="AG11" s="26"/>
      <c r="AH11" s="2"/>
      <c r="AI11" s="53">
        <f t="shared" si="0"/>
        <v>7.129032258064516</v>
      </c>
      <c r="AJ11" s="35">
        <f t="shared" si="1"/>
        <v>221</v>
      </c>
      <c r="AK11" s="3">
        <f>(AJ11/(AJ3+AJ4))*100</f>
        <v>8.2833583208395805</v>
      </c>
    </row>
    <row r="12" spans="1:37" ht="18.75" customHeight="1" x14ac:dyDescent="0.3">
      <c r="A12" s="126"/>
      <c r="B12" s="140" t="s">
        <v>22</v>
      </c>
      <c r="C12" s="88" t="s">
        <v>2</v>
      </c>
      <c r="D12" s="6">
        <v>7</v>
      </c>
      <c r="E12" s="6"/>
      <c r="F12" s="6"/>
      <c r="G12" s="6">
        <v>6</v>
      </c>
      <c r="H12" s="6"/>
      <c r="I12" s="6"/>
      <c r="J12" s="29"/>
      <c r="K12" s="6"/>
      <c r="L12" s="6"/>
      <c r="M12" s="6">
        <v>11</v>
      </c>
      <c r="N12" s="6">
        <v>30</v>
      </c>
      <c r="O12" s="6"/>
      <c r="P12" s="6"/>
      <c r="Q12" s="6"/>
      <c r="R12" s="6"/>
      <c r="S12" s="6"/>
      <c r="T12" s="6">
        <v>20</v>
      </c>
      <c r="U12" s="6">
        <v>60</v>
      </c>
      <c r="V12" s="6"/>
      <c r="W12" s="6">
        <v>65</v>
      </c>
      <c r="X12" s="6">
        <v>10</v>
      </c>
      <c r="Y12" s="6"/>
      <c r="Z12" s="6"/>
      <c r="AA12" s="6"/>
      <c r="AB12" s="6">
        <v>30</v>
      </c>
      <c r="AC12" s="30"/>
      <c r="AD12" s="6"/>
      <c r="AE12" s="29"/>
      <c r="AF12" s="6"/>
      <c r="AG12" s="29"/>
      <c r="AH12" s="6"/>
      <c r="AI12" s="55">
        <f t="shared" si="0"/>
        <v>7.709677419354839</v>
      </c>
      <c r="AJ12" s="37">
        <f>SUM(D12,E12,F12,G12,H12,I12,J12,K12,L12,M12,N12,O12,P12,Q12,R12,S12,T12,U12,V12,W12,X12,Y12,Z12,AA12,AB12,AC12,AD12,AE12,AF12,AG12,AH12)</f>
        <v>239</v>
      </c>
      <c r="AK12" s="7">
        <f>(AJ12/(AJ3+AJ4))*100</f>
        <v>8.9580209895052469</v>
      </c>
    </row>
    <row r="13" spans="1:37" ht="18" customHeight="1" x14ac:dyDescent="0.3">
      <c r="A13" s="126"/>
      <c r="B13" s="141"/>
      <c r="C13" s="88" t="s">
        <v>32</v>
      </c>
      <c r="D13" s="31"/>
      <c r="E13" s="8"/>
      <c r="F13" s="8"/>
      <c r="G13" s="8"/>
      <c r="H13" s="8"/>
      <c r="I13" s="8"/>
      <c r="J13" s="32"/>
      <c r="K13" s="8"/>
      <c r="L13" s="8"/>
      <c r="M13" s="8">
        <v>4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>
        <v>20</v>
      </c>
      <c r="Y13" s="8"/>
      <c r="Z13" s="8"/>
      <c r="AA13" s="8"/>
      <c r="AB13" s="8"/>
      <c r="AC13" s="31"/>
      <c r="AD13" s="8"/>
      <c r="AE13" s="33"/>
      <c r="AF13" s="8"/>
      <c r="AG13" s="33"/>
      <c r="AH13" s="8"/>
      <c r="AI13" s="56">
        <f t="shared" si="0"/>
        <v>0.77419354838709675</v>
      </c>
      <c r="AJ13" s="38">
        <f t="shared" si="1"/>
        <v>24</v>
      </c>
      <c r="AK13" s="9">
        <f>(AJ13/(AJ3+AJ4))*100</f>
        <v>0.8995502248875562</v>
      </c>
    </row>
    <row r="14" spans="1:37" ht="17.25" customHeight="1" x14ac:dyDescent="0.3">
      <c r="A14" s="126"/>
      <c r="B14" s="141"/>
      <c r="C14" s="82" t="s">
        <v>19</v>
      </c>
      <c r="D14" s="6"/>
      <c r="E14" s="6"/>
      <c r="F14" s="6"/>
      <c r="G14" s="6"/>
      <c r="H14" s="6"/>
      <c r="I14" s="6"/>
      <c r="J14" s="29">
        <v>144</v>
      </c>
      <c r="K14" s="6">
        <v>56</v>
      </c>
      <c r="L14" s="6"/>
      <c r="M14" s="6"/>
      <c r="N14" s="6"/>
      <c r="O14" s="6">
        <v>48</v>
      </c>
      <c r="P14" s="6"/>
      <c r="Q14" s="6"/>
      <c r="R14" s="6">
        <v>50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30"/>
      <c r="AD14" s="6"/>
      <c r="AE14" s="29"/>
      <c r="AF14" s="6"/>
      <c r="AG14" s="29"/>
      <c r="AH14" s="6"/>
      <c r="AI14" s="55">
        <f t="shared" si="0"/>
        <v>9.612903225806452</v>
      </c>
      <c r="AJ14" s="37">
        <f t="shared" si="1"/>
        <v>298</v>
      </c>
      <c r="AK14" s="7">
        <f>(AJ14/(AJ3+AJ4))*100</f>
        <v>11.169415292353824</v>
      </c>
    </row>
    <row r="15" spans="1:37" x14ac:dyDescent="0.3">
      <c r="A15" s="126"/>
      <c r="B15" s="142"/>
      <c r="C15" s="88" t="s">
        <v>20</v>
      </c>
      <c r="D15" s="6"/>
      <c r="E15" s="6"/>
      <c r="F15" s="6"/>
      <c r="G15" s="6"/>
      <c r="H15" s="6"/>
      <c r="I15" s="6"/>
      <c r="J15" s="29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97</v>
      </c>
      <c r="Z15" s="6"/>
      <c r="AA15" s="6"/>
      <c r="AB15" s="6"/>
      <c r="AC15" s="30"/>
      <c r="AD15" s="6"/>
      <c r="AE15" s="29"/>
      <c r="AF15" s="6"/>
      <c r="AG15" s="29"/>
      <c r="AH15" s="6"/>
      <c r="AI15" s="55">
        <f t="shared" si="0"/>
        <v>3.129032258064516</v>
      </c>
      <c r="AJ15" s="37">
        <f t="shared" si="1"/>
        <v>97</v>
      </c>
      <c r="AK15" s="7">
        <f>(AJ15/(AJ3+AJ4))*100</f>
        <v>3.6356821589205399</v>
      </c>
    </row>
    <row r="16" spans="1:37" x14ac:dyDescent="0.3">
      <c r="A16" s="127"/>
      <c r="B16" s="119" t="s">
        <v>23</v>
      </c>
      <c r="C16" s="120"/>
      <c r="D16" s="68"/>
      <c r="E16" s="119">
        <f>SUM(E5:K15)</f>
        <v>331</v>
      </c>
      <c r="F16" s="120"/>
      <c r="G16" s="120"/>
      <c r="H16" s="120"/>
      <c r="I16" s="120"/>
      <c r="J16" s="120"/>
      <c r="K16" s="124"/>
      <c r="L16" s="119">
        <f>SUM(L5:R15)</f>
        <v>396</v>
      </c>
      <c r="M16" s="120"/>
      <c r="N16" s="120"/>
      <c r="O16" s="120"/>
      <c r="P16" s="120"/>
      <c r="Q16" s="120"/>
      <c r="R16" s="124"/>
      <c r="S16" s="119">
        <f>SUM(S5:Y15)</f>
        <v>977</v>
      </c>
      <c r="T16" s="120"/>
      <c r="U16" s="120"/>
      <c r="V16" s="120"/>
      <c r="W16" s="120"/>
      <c r="X16" s="120"/>
      <c r="Y16" s="124"/>
      <c r="Z16" s="119">
        <f>SUM(Z5:AF15)</f>
        <v>716</v>
      </c>
      <c r="AA16" s="120"/>
      <c r="AB16" s="120"/>
      <c r="AC16" s="120"/>
      <c r="AD16" s="120"/>
      <c r="AE16" s="120"/>
      <c r="AF16" s="124"/>
      <c r="AG16" s="69"/>
      <c r="AH16" s="70"/>
      <c r="AI16" s="65">
        <f t="shared" si="0"/>
        <v>79.032258064516128</v>
      </c>
      <c r="AJ16" s="64">
        <f>SUM(AJ5,AJ6,AJ7,AJ8,AJ9,AJ10,AJ11,AJ12,AJ13,AJ14,AJ15)</f>
        <v>2450</v>
      </c>
      <c r="AK16" s="10">
        <f>SUM(AK5,AK6,AK7,AK8,AK9,AK10,AK11,AK12,AK13,AK14,AK15)</f>
        <v>91.829085457271361</v>
      </c>
    </row>
    <row r="17" spans="1:37" x14ac:dyDescent="0.3">
      <c r="A17" s="121" t="s">
        <v>11</v>
      </c>
      <c r="B17" s="121"/>
      <c r="C17" s="122"/>
      <c r="D17" s="123">
        <v>3569</v>
      </c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2"/>
      <c r="AK17" s="66"/>
    </row>
    <row r="18" spans="1:37" x14ac:dyDescent="0.3">
      <c r="A18" s="109" t="s">
        <v>24</v>
      </c>
      <c r="B18" s="109"/>
      <c r="C18" s="110"/>
      <c r="D18" s="111">
        <f>(AJ3+AJ4+D17)-AJ16</f>
        <v>3787</v>
      </c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2"/>
      <c r="AK18" s="34">
        <f>((AJ3+AJ4-AJ16)/(AJ3+AJ4))*100</f>
        <v>8.1709145427286352</v>
      </c>
    </row>
  </sheetData>
  <mergeCells count="19">
    <mergeCell ref="A1:C2"/>
    <mergeCell ref="AI1:AI2"/>
    <mergeCell ref="AJ1:AJ2"/>
    <mergeCell ref="AK1:AK2"/>
    <mergeCell ref="A3:B4"/>
    <mergeCell ref="AI3:AI4"/>
    <mergeCell ref="AK3:AK4"/>
    <mergeCell ref="S16:Y16"/>
    <mergeCell ref="Z16:AF16"/>
    <mergeCell ref="A17:C17"/>
    <mergeCell ref="D17:AJ17"/>
    <mergeCell ref="A18:C18"/>
    <mergeCell ref="D18:AJ18"/>
    <mergeCell ref="E16:K16"/>
    <mergeCell ref="L16:R16"/>
    <mergeCell ref="A5:A16"/>
    <mergeCell ref="B5:B11"/>
    <mergeCell ref="B12:B15"/>
    <mergeCell ref="B16:C16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18"/>
  <sheetViews>
    <sheetView zoomScale="80" zoomScaleNormal="80" workbookViewId="0">
      <selection activeCell="B12" sqref="B12:B15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2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75" customHeight="1" x14ac:dyDescent="0.3">
      <c r="A1" s="91"/>
      <c r="B1" s="91"/>
      <c r="C1" s="92"/>
      <c r="D1" s="41" t="s">
        <v>8</v>
      </c>
      <c r="E1" s="41" t="s">
        <v>7</v>
      </c>
      <c r="F1" s="42" t="s">
        <v>6</v>
      </c>
      <c r="G1" s="72" t="s">
        <v>5</v>
      </c>
      <c r="H1" s="41" t="s">
        <v>4</v>
      </c>
      <c r="I1" s="42" t="s">
        <v>29</v>
      </c>
      <c r="J1" s="41" t="s">
        <v>9</v>
      </c>
      <c r="K1" s="41" t="s">
        <v>8</v>
      </c>
      <c r="L1" s="41" t="s">
        <v>7</v>
      </c>
      <c r="M1" s="42" t="s">
        <v>6</v>
      </c>
      <c r="N1" s="72" t="s">
        <v>5</v>
      </c>
      <c r="O1" s="41" t="s">
        <v>4</v>
      </c>
      <c r="P1" s="42" t="s">
        <v>29</v>
      </c>
      <c r="Q1" s="41" t="s">
        <v>9</v>
      </c>
      <c r="R1" s="41" t="s">
        <v>8</v>
      </c>
      <c r="S1" s="41" t="s">
        <v>7</v>
      </c>
      <c r="T1" s="42" t="s">
        <v>6</v>
      </c>
      <c r="U1" s="72" t="s">
        <v>5</v>
      </c>
      <c r="V1" s="41" t="s">
        <v>4</v>
      </c>
      <c r="W1" s="42" t="s">
        <v>29</v>
      </c>
      <c r="X1" s="41" t="s">
        <v>9</v>
      </c>
      <c r="Y1" s="41" t="s">
        <v>8</v>
      </c>
      <c r="Z1" s="41" t="s">
        <v>7</v>
      </c>
      <c r="AA1" s="42" t="s">
        <v>6</v>
      </c>
      <c r="AB1" s="72" t="s">
        <v>5</v>
      </c>
      <c r="AC1" s="41" t="s">
        <v>4</v>
      </c>
      <c r="AD1" s="42" t="s">
        <v>29</v>
      </c>
      <c r="AE1" s="41" t="s">
        <v>9</v>
      </c>
      <c r="AF1" s="41" t="s">
        <v>8</v>
      </c>
      <c r="AG1" s="41" t="s">
        <v>7</v>
      </c>
      <c r="AH1" s="42" t="s">
        <v>6</v>
      </c>
      <c r="AI1" s="105" t="s">
        <v>31</v>
      </c>
      <c r="AJ1" s="95" t="s">
        <v>30</v>
      </c>
      <c r="AK1" s="97" t="s">
        <v>10</v>
      </c>
    </row>
    <row r="2" spans="1:37" x14ac:dyDescent="0.3">
      <c r="A2" s="93"/>
      <c r="B2" s="93"/>
      <c r="C2" s="94"/>
      <c r="D2" s="13">
        <v>1</v>
      </c>
      <c r="E2" s="14">
        <v>2</v>
      </c>
      <c r="F2" s="14">
        <v>3</v>
      </c>
      <c r="G2" s="14">
        <v>4</v>
      </c>
      <c r="H2" s="14">
        <v>5</v>
      </c>
      <c r="I2" s="14">
        <v>6</v>
      </c>
      <c r="J2" s="15">
        <v>7</v>
      </c>
      <c r="K2" s="14">
        <v>8</v>
      </c>
      <c r="L2" s="14">
        <v>9</v>
      </c>
      <c r="M2" s="14">
        <v>10</v>
      </c>
      <c r="N2" s="14">
        <v>11</v>
      </c>
      <c r="O2" s="14">
        <v>12</v>
      </c>
      <c r="P2" s="14">
        <v>13</v>
      </c>
      <c r="Q2" s="14">
        <v>14</v>
      </c>
      <c r="R2" s="14">
        <v>15</v>
      </c>
      <c r="S2" s="14">
        <v>16</v>
      </c>
      <c r="T2" s="14">
        <v>17</v>
      </c>
      <c r="U2" s="14">
        <v>18</v>
      </c>
      <c r="V2" s="14">
        <v>19</v>
      </c>
      <c r="W2" s="14">
        <v>20</v>
      </c>
      <c r="X2" s="14">
        <v>21</v>
      </c>
      <c r="Y2" s="14">
        <v>22</v>
      </c>
      <c r="Z2" s="14">
        <v>23</v>
      </c>
      <c r="AA2" s="14">
        <v>24</v>
      </c>
      <c r="AB2" s="14">
        <v>25</v>
      </c>
      <c r="AC2" s="13">
        <v>26</v>
      </c>
      <c r="AD2" s="14">
        <v>27</v>
      </c>
      <c r="AE2" s="15">
        <v>28</v>
      </c>
      <c r="AF2" s="14">
        <v>29</v>
      </c>
      <c r="AG2" s="15">
        <v>30</v>
      </c>
      <c r="AH2" s="14">
        <v>31</v>
      </c>
      <c r="AI2" s="106"/>
      <c r="AJ2" s="96"/>
      <c r="AK2" s="98"/>
    </row>
    <row r="3" spans="1:37" x14ac:dyDescent="0.3">
      <c r="A3" s="99" t="s">
        <v>28</v>
      </c>
      <c r="B3" s="100"/>
      <c r="C3" s="83" t="s">
        <v>0</v>
      </c>
      <c r="D3" s="17"/>
      <c r="E3" s="18"/>
      <c r="F3" s="18"/>
      <c r="G3" s="18"/>
      <c r="H3" s="18">
        <v>1447</v>
      </c>
      <c r="I3" s="21"/>
      <c r="J3" s="19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>
        <v>1000</v>
      </c>
      <c r="X3" s="18"/>
      <c r="Y3" s="18"/>
      <c r="Z3" s="18"/>
      <c r="AA3" s="18"/>
      <c r="AB3" s="18"/>
      <c r="AC3" s="17"/>
      <c r="AD3" s="18"/>
      <c r="AE3" s="20"/>
      <c r="AF3" s="18"/>
      <c r="AG3" s="20"/>
      <c r="AH3" s="18"/>
      <c r="AI3" s="107">
        <f>AJ3/31</f>
        <v>78.935483870967744</v>
      </c>
      <c r="AJ3" s="63">
        <f>SUM(D3:AH3)</f>
        <v>2447</v>
      </c>
      <c r="AK3" s="103">
        <v>100</v>
      </c>
    </row>
    <row r="4" spans="1:37" x14ac:dyDescent="0.3">
      <c r="A4" s="101"/>
      <c r="B4" s="102"/>
      <c r="C4" s="84" t="s">
        <v>12</v>
      </c>
      <c r="D4" s="21"/>
      <c r="E4" s="21"/>
      <c r="F4" s="21">
        <v>500</v>
      </c>
      <c r="G4" s="21"/>
      <c r="H4" s="21"/>
      <c r="I4" s="21">
        <v>230</v>
      </c>
      <c r="J4" s="22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3"/>
      <c r="AD4" s="21"/>
      <c r="AE4" s="22"/>
      <c r="AF4" s="21"/>
      <c r="AG4" s="22"/>
      <c r="AH4" s="21"/>
      <c r="AI4" s="108"/>
      <c r="AJ4" s="63">
        <f>SUM(D4:AH4)</f>
        <v>730</v>
      </c>
      <c r="AK4" s="104"/>
    </row>
    <row r="5" spans="1:37" ht="18.75" customHeight="1" x14ac:dyDescent="0.3">
      <c r="A5" s="125" t="s">
        <v>27</v>
      </c>
      <c r="B5" s="115" t="s">
        <v>21</v>
      </c>
      <c r="C5" s="85" t="s">
        <v>13</v>
      </c>
      <c r="D5" s="24">
        <v>31</v>
      </c>
      <c r="E5" s="2">
        <v>31</v>
      </c>
      <c r="F5" s="2"/>
      <c r="G5" s="2"/>
      <c r="H5" s="2"/>
      <c r="I5" s="2"/>
      <c r="J5" s="25">
        <v>91</v>
      </c>
      <c r="K5" s="2">
        <v>56</v>
      </c>
      <c r="L5" s="2">
        <v>40</v>
      </c>
      <c r="M5" s="2"/>
      <c r="N5" s="2"/>
      <c r="O5" s="2">
        <v>39</v>
      </c>
      <c r="P5" s="2">
        <v>41</v>
      </c>
      <c r="Q5" s="2"/>
      <c r="R5" s="2">
        <v>30</v>
      </c>
      <c r="S5" s="2">
        <v>20</v>
      </c>
      <c r="T5" s="2">
        <v>45</v>
      </c>
      <c r="U5" s="2">
        <v>30</v>
      </c>
      <c r="V5" s="2">
        <v>68</v>
      </c>
      <c r="W5" s="2">
        <v>33</v>
      </c>
      <c r="X5" s="2"/>
      <c r="Y5" s="2"/>
      <c r="Z5" s="2">
        <v>70</v>
      </c>
      <c r="AA5" s="2"/>
      <c r="AB5" s="2">
        <v>40</v>
      </c>
      <c r="AC5" s="24">
        <v>41</v>
      </c>
      <c r="AD5" s="2"/>
      <c r="AE5" s="26"/>
      <c r="AF5" s="2">
        <v>39</v>
      </c>
      <c r="AG5" s="26">
        <v>9</v>
      </c>
      <c r="AH5" s="2"/>
      <c r="AI5" s="53">
        <f t="shared" ref="AI5:AI16" si="0">AJ5/31</f>
        <v>24.322580645161292</v>
      </c>
      <c r="AJ5" s="35">
        <f>SUM(D5,E5,F5,G5,H5,I5,J5,K5,L5,M5,N5,O5,P5,Q5,R5,S5,T5,U5,V5,W5,X5,Y5,Z5,AA5,AB5,AC5,AD5,AE5,AF5,AG5,AH5)</f>
        <v>754</v>
      </c>
      <c r="AK5" s="3">
        <f>(AJ5/(AJ3+AJ4))*100</f>
        <v>23.733081523449794</v>
      </c>
    </row>
    <row r="6" spans="1:37" x14ac:dyDescent="0.3">
      <c r="A6" s="126"/>
      <c r="B6" s="115"/>
      <c r="C6" s="86" t="s">
        <v>14</v>
      </c>
      <c r="D6" s="4">
        <v>4</v>
      </c>
      <c r="E6" s="4">
        <v>15</v>
      </c>
      <c r="F6" s="4">
        <v>13</v>
      </c>
      <c r="G6" s="4">
        <v>30</v>
      </c>
      <c r="H6" s="4"/>
      <c r="I6" s="4">
        <v>25</v>
      </c>
      <c r="J6" s="27">
        <v>10</v>
      </c>
      <c r="K6" s="4"/>
      <c r="L6" s="4"/>
      <c r="M6" s="4"/>
      <c r="N6" s="4"/>
      <c r="O6" s="4">
        <v>16</v>
      </c>
      <c r="P6" s="4">
        <v>22</v>
      </c>
      <c r="Q6" s="4"/>
      <c r="R6" s="4"/>
      <c r="S6" s="4"/>
      <c r="T6" s="4">
        <v>5</v>
      </c>
      <c r="U6" s="4"/>
      <c r="V6" s="4"/>
      <c r="W6" s="4"/>
      <c r="X6" s="4"/>
      <c r="Y6" s="4"/>
      <c r="Z6" s="4">
        <v>24</v>
      </c>
      <c r="AA6" s="4"/>
      <c r="AB6" s="4"/>
      <c r="AC6" s="28"/>
      <c r="AD6" s="4"/>
      <c r="AE6" s="27"/>
      <c r="AF6" s="4">
        <v>5</v>
      </c>
      <c r="AG6" s="27"/>
      <c r="AH6" s="4"/>
      <c r="AI6" s="54">
        <f t="shared" si="0"/>
        <v>5.4516129032258061</v>
      </c>
      <c r="AJ6" s="36">
        <f>SUM(D6,E6,F6,G6,H6,I6,J6,K6,L6,M6,N6,O6,P6,Q6,R6,S6,T6,U6,V6,W6,X6,Y6,Z6,AA6,AB6,AC6,AD6,AE6,AF6,AG6,AH6)</f>
        <v>169</v>
      </c>
      <c r="AK6" s="5">
        <f>(AJ6/(AJ3+AJ4))*100</f>
        <v>5.3194837897387472</v>
      </c>
    </row>
    <row r="7" spans="1:37" x14ac:dyDescent="0.3">
      <c r="A7" s="126"/>
      <c r="B7" s="115"/>
      <c r="C7" s="86" t="s">
        <v>15</v>
      </c>
      <c r="D7" s="28">
        <v>14</v>
      </c>
      <c r="E7" s="4"/>
      <c r="F7" s="4"/>
      <c r="G7" s="4"/>
      <c r="H7" s="4"/>
      <c r="I7" s="4"/>
      <c r="J7" s="27">
        <v>2500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8"/>
      <c r="AD7" s="4"/>
      <c r="AE7" s="27"/>
      <c r="AF7" s="4"/>
      <c r="AG7" s="27"/>
      <c r="AH7" s="4"/>
      <c r="AI7" s="54">
        <f t="shared" si="0"/>
        <v>81.096774193548384</v>
      </c>
      <c r="AJ7" s="36">
        <f>SUM(D7,E7,F7,G7,H7,I7,J7,K7,L7,M7,N7,O7,P7,Q7,R7,S7,T7,U7,V7,W7,X7,Y7,Z7,AA7,AB7,AC7,AD7,AE7,AF7,AG7,AH7)</f>
        <v>2514</v>
      </c>
      <c r="AK7" s="5">
        <f>(AJ7/(AJ3+AJ4))*100</f>
        <v>79.131255901794148</v>
      </c>
    </row>
    <row r="8" spans="1:37" x14ac:dyDescent="0.3">
      <c r="A8" s="126"/>
      <c r="B8" s="115"/>
      <c r="C8" s="87" t="s">
        <v>16</v>
      </c>
      <c r="D8" s="48">
        <v>3</v>
      </c>
      <c r="E8" s="49">
        <v>3</v>
      </c>
      <c r="F8" s="49"/>
      <c r="G8" s="49"/>
      <c r="H8" s="49"/>
      <c r="I8" s="49"/>
      <c r="J8" s="50">
        <v>54</v>
      </c>
      <c r="K8" s="49"/>
      <c r="L8" s="49"/>
      <c r="M8" s="49">
        <v>2</v>
      </c>
      <c r="N8" s="49"/>
      <c r="O8" s="49"/>
      <c r="P8" s="49"/>
      <c r="Q8" s="49"/>
      <c r="R8" s="49"/>
      <c r="S8" s="49"/>
      <c r="T8" s="49">
        <v>10</v>
      </c>
      <c r="U8" s="49"/>
      <c r="V8" s="49"/>
      <c r="W8" s="49"/>
      <c r="X8" s="49"/>
      <c r="Y8" s="49"/>
      <c r="Z8" s="49"/>
      <c r="AA8" s="49"/>
      <c r="AB8" s="49"/>
      <c r="AC8" s="48"/>
      <c r="AD8" s="49"/>
      <c r="AE8" s="50"/>
      <c r="AF8" s="49"/>
      <c r="AG8" s="50">
        <v>29</v>
      </c>
      <c r="AH8" s="49"/>
      <c r="AI8" s="57">
        <f t="shared" si="0"/>
        <v>3.2580645161290325</v>
      </c>
      <c r="AJ8" s="51">
        <f>SUM(D8,E8,F8,G8,H8,I8,J8,K8,L8,M8,N8,O8,P8,Q8,R8,S8,T8,U8,V8,W8,X8,Y8,Z8,AA8,AB8,AC8,AD8,AE8,AF8,AG8,AH8)</f>
        <v>101</v>
      </c>
      <c r="AK8" s="52">
        <f>(AJ8/(AJ3+AJ4))*100</f>
        <v>3.1790997796663523</v>
      </c>
    </row>
    <row r="9" spans="1:37" x14ac:dyDescent="0.3">
      <c r="A9" s="126"/>
      <c r="B9" s="115"/>
      <c r="C9" s="85" t="s">
        <v>1</v>
      </c>
      <c r="D9" s="24"/>
      <c r="E9" s="2"/>
      <c r="F9" s="2"/>
      <c r="G9" s="2"/>
      <c r="H9" s="2"/>
      <c r="I9" s="2"/>
      <c r="J9" s="2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4"/>
      <c r="AD9" s="2"/>
      <c r="AE9" s="26"/>
      <c r="AF9" s="2"/>
      <c r="AG9" s="26"/>
      <c r="AH9" s="2"/>
      <c r="AI9" s="53">
        <f t="shared" si="0"/>
        <v>0</v>
      </c>
      <c r="AJ9" s="35">
        <f>SUM(D9,E9,F9,G9,H9,I9,J9,K9,L9,M9,N9,O9,P9,Q9,R9,S9,T9,U9,V9,W9,X9,Y9,Z9,AA9,AB9,AC9,AD9,AE9,AF9,AG9,AH9)</f>
        <v>0</v>
      </c>
      <c r="AK9" s="3">
        <f>(AJ9/(AJ3+AJ4))*100</f>
        <v>0</v>
      </c>
    </row>
    <row r="10" spans="1:37" x14ac:dyDescent="0.3">
      <c r="A10" s="126"/>
      <c r="B10" s="115"/>
      <c r="C10" s="86" t="s">
        <v>17</v>
      </c>
      <c r="D10" s="4"/>
      <c r="E10" s="4"/>
      <c r="F10" s="4"/>
      <c r="G10" s="4"/>
      <c r="H10" s="4"/>
      <c r="I10" s="4"/>
      <c r="J10" s="27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8"/>
      <c r="AD10" s="4"/>
      <c r="AE10" s="27"/>
      <c r="AF10" s="4"/>
      <c r="AG10" s="27"/>
      <c r="AH10" s="4"/>
      <c r="AI10" s="54">
        <f t="shared" si="0"/>
        <v>0</v>
      </c>
      <c r="AJ10" s="36">
        <f t="shared" ref="AJ10:AJ15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x14ac:dyDescent="0.3">
      <c r="A11" s="126"/>
      <c r="B11" s="115"/>
      <c r="C11" s="86" t="s">
        <v>18</v>
      </c>
      <c r="D11" s="24"/>
      <c r="E11" s="2">
        <v>115</v>
      </c>
      <c r="F11" s="2">
        <v>370</v>
      </c>
      <c r="G11" s="2"/>
      <c r="H11" s="2">
        <v>25</v>
      </c>
      <c r="I11" s="2"/>
      <c r="J11" s="25"/>
      <c r="K11" s="2"/>
      <c r="L11" s="2"/>
      <c r="M11" s="2"/>
      <c r="N11" s="2">
        <v>70</v>
      </c>
      <c r="O11" s="2"/>
      <c r="P11" s="2"/>
      <c r="Q11" s="2"/>
      <c r="R11" s="2"/>
      <c r="S11" s="2"/>
      <c r="T11" s="2"/>
      <c r="U11" s="2"/>
      <c r="V11" s="2"/>
      <c r="W11" s="2">
        <v>4</v>
      </c>
      <c r="X11" s="2"/>
      <c r="Y11" s="2">
        <v>81</v>
      </c>
      <c r="Z11" s="2">
        <v>275</v>
      </c>
      <c r="AA11" s="2"/>
      <c r="AB11" s="2"/>
      <c r="AC11" s="24">
        <v>20</v>
      </c>
      <c r="AD11" s="2"/>
      <c r="AE11" s="26">
        <v>128</v>
      </c>
      <c r="AF11" s="2"/>
      <c r="AG11" s="26"/>
      <c r="AH11" s="2">
        <v>35</v>
      </c>
      <c r="AI11" s="53">
        <f t="shared" si="0"/>
        <v>36.225806451612904</v>
      </c>
      <c r="AJ11" s="35">
        <f>SUM(D11,E11,F11,G11,H11,I11,J11,K11,L11,M11,N11,O11,P11,Q11,R11,S11,T11,U11,V11,W11,X11,Y11,Z11,AA11,AB11,AC11,AD11,AE11,AF11,AG11,AH11)</f>
        <v>1123</v>
      </c>
      <c r="AK11" s="3">
        <f>(AJ11/(AJ3+AJ4))*100</f>
        <v>35.347812401636766</v>
      </c>
    </row>
    <row r="12" spans="1:37" ht="18.75" customHeight="1" x14ac:dyDescent="0.3">
      <c r="A12" s="126"/>
      <c r="B12" s="137" t="s">
        <v>22</v>
      </c>
      <c r="C12" s="88" t="s">
        <v>2</v>
      </c>
      <c r="D12" s="6">
        <v>6</v>
      </c>
      <c r="E12" s="6"/>
      <c r="F12" s="6">
        <v>6</v>
      </c>
      <c r="G12" s="6"/>
      <c r="H12" s="6">
        <v>41</v>
      </c>
      <c r="I12" s="6"/>
      <c r="J12" s="29"/>
      <c r="K12" s="6"/>
      <c r="L12" s="6"/>
      <c r="M12" s="6">
        <v>62</v>
      </c>
      <c r="N12" s="6"/>
      <c r="O12" s="6">
        <v>48</v>
      </c>
      <c r="P12" s="6"/>
      <c r="Q12" s="6"/>
      <c r="R12" s="6"/>
      <c r="S12" s="6"/>
      <c r="T12" s="6"/>
      <c r="U12" s="6"/>
      <c r="V12" s="6"/>
      <c r="W12" s="6">
        <v>18</v>
      </c>
      <c r="X12" s="6">
        <v>40</v>
      </c>
      <c r="Y12" s="6"/>
      <c r="Z12" s="6"/>
      <c r="AA12" s="6">
        <v>17</v>
      </c>
      <c r="AB12" s="6"/>
      <c r="AC12" s="30"/>
      <c r="AD12" s="6"/>
      <c r="AE12" s="29">
        <v>66</v>
      </c>
      <c r="AF12" s="6"/>
      <c r="AG12" s="29"/>
      <c r="AH12" s="6"/>
      <c r="AI12" s="55">
        <f t="shared" si="0"/>
        <v>9.806451612903226</v>
      </c>
      <c r="AJ12" s="37">
        <f>SUM(D12,E12,F12,G12,H12,I12,J12,K12,L12,M12,N12,O12,P12,Q12,R12,S12,T12,U12,V12,W12,X12,Y12,Z12,AA12,AB12,AC12,AD12,AE12,AF12,AG12,AH12)</f>
        <v>304</v>
      </c>
      <c r="AK12" s="7">
        <f>(AJ12/(AJ3+AJ4))*100</f>
        <v>9.5687755744412968</v>
      </c>
    </row>
    <row r="13" spans="1:37" ht="18" customHeight="1" x14ac:dyDescent="0.3">
      <c r="A13" s="126"/>
      <c r="B13" s="138"/>
      <c r="C13" s="88" t="s">
        <v>32</v>
      </c>
      <c r="D13" s="31"/>
      <c r="E13" s="8"/>
      <c r="F13" s="8"/>
      <c r="G13" s="8"/>
      <c r="H13" s="8"/>
      <c r="I13" s="8"/>
      <c r="J13" s="32"/>
      <c r="K13" s="8"/>
      <c r="L13" s="8"/>
      <c r="M13" s="8"/>
      <c r="N13" s="8"/>
      <c r="O13" s="8">
        <v>12</v>
      </c>
      <c r="P13" s="8">
        <v>9</v>
      </c>
      <c r="Q13" s="8"/>
      <c r="R13" s="8"/>
      <c r="S13" s="8"/>
      <c r="T13" s="8"/>
      <c r="U13" s="8"/>
      <c r="V13" s="8"/>
      <c r="W13" s="8">
        <v>20</v>
      </c>
      <c r="X13" s="8"/>
      <c r="Y13" s="8"/>
      <c r="Z13" s="8"/>
      <c r="AA13" s="8"/>
      <c r="AB13" s="8"/>
      <c r="AC13" s="31"/>
      <c r="AD13" s="8"/>
      <c r="AE13" s="33"/>
      <c r="AF13" s="8"/>
      <c r="AG13" s="33"/>
      <c r="AH13" s="8"/>
      <c r="AI13" s="56">
        <f t="shared" si="0"/>
        <v>1.3225806451612903</v>
      </c>
      <c r="AJ13" s="38">
        <f t="shared" si="1"/>
        <v>41</v>
      </c>
      <c r="AK13" s="9">
        <f>(AJ13/(AJ3+AJ4))*100</f>
        <v>1.2905256531318854</v>
      </c>
    </row>
    <row r="14" spans="1:37" ht="19.5" customHeight="1" x14ac:dyDescent="0.3">
      <c r="A14" s="126"/>
      <c r="B14" s="138"/>
      <c r="C14" s="82" t="s">
        <v>19</v>
      </c>
      <c r="D14" s="6"/>
      <c r="E14" s="6"/>
      <c r="F14" s="6"/>
      <c r="G14" s="6"/>
      <c r="H14" s="6"/>
      <c r="I14" s="6"/>
      <c r="J14" s="29"/>
      <c r="K14" s="6"/>
      <c r="L14" s="6"/>
      <c r="M14" s="6"/>
      <c r="N14" s="6"/>
      <c r="O14" s="6"/>
      <c r="P14" s="6"/>
      <c r="Q14" s="6"/>
      <c r="R14" s="6"/>
      <c r="S14" s="6"/>
      <c r="T14" s="6">
        <v>32</v>
      </c>
      <c r="U14" s="6"/>
      <c r="V14" s="6"/>
      <c r="W14" s="6"/>
      <c r="X14" s="6"/>
      <c r="Y14" s="6"/>
      <c r="Z14" s="6">
        <v>8</v>
      </c>
      <c r="AA14" s="6">
        <v>60</v>
      </c>
      <c r="AB14" s="6">
        <v>200</v>
      </c>
      <c r="AC14" s="30"/>
      <c r="AD14" s="6"/>
      <c r="AE14" s="29"/>
      <c r="AF14" s="6"/>
      <c r="AG14" s="29"/>
      <c r="AH14" s="6">
        <v>50</v>
      </c>
      <c r="AI14" s="55">
        <f t="shared" si="0"/>
        <v>11.290322580645162</v>
      </c>
      <c r="AJ14" s="37">
        <f t="shared" si="1"/>
        <v>350</v>
      </c>
      <c r="AK14" s="7">
        <f>(AJ14/(AJ3+AJ4))*100</f>
        <v>11.016682404784389</v>
      </c>
    </row>
    <row r="15" spans="1:37" x14ac:dyDescent="0.3">
      <c r="A15" s="126"/>
      <c r="B15" s="139"/>
      <c r="C15" s="88" t="s">
        <v>20</v>
      </c>
      <c r="D15" s="6"/>
      <c r="E15" s="6"/>
      <c r="F15" s="6"/>
      <c r="G15" s="6">
        <v>30</v>
      </c>
      <c r="H15" s="6"/>
      <c r="I15" s="6"/>
      <c r="J15" s="73"/>
      <c r="K15" s="74"/>
      <c r="L15" s="74"/>
      <c r="M15" s="74">
        <v>5</v>
      </c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5"/>
      <c r="AD15" s="74"/>
      <c r="AE15" s="73"/>
      <c r="AF15" s="74"/>
      <c r="AG15" s="73"/>
      <c r="AH15" s="74"/>
      <c r="AI15" s="55">
        <f t="shared" si="0"/>
        <v>1.1290322580645162</v>
      </c>
      <c r="AJ15" s="37">
        <f t="shared" si="1"/>
        <v>35</v>
      </c>
      <c r="AK15" s="7">
        <f>(AJ15/(AJ3+AJ4))*100</f>
        <v>1.1016682404784388</v>
      </c>
    </row>
    <row r="16" spans="1:37" x14ac:dyDescent="0.3">
      <c r="A16" s="127"/>
      <c r="B16" s="119" t="s">
        <v>23</v>
      </c>
      <c r="C16" s="120"/>
      <c r="D16" s="119">
        <f>SUM(D5:I15)+23</f>
        <v>785</v>
      </c>
      <c r="E16" s="120"/>
      <c r="F16" s="120"/>
      <c r="G16" s="120"/>
      <c r="H16" s="120"/>
      <c r="I16" s="120"/>
      <c r="J16" s="119">
        <f>SUM(J5:P15)</f>
        <v>3077</v>
      </c>
      <c r="K16" s="120"/>
      <c r="L16" s="120"/>
      <c r="M16" s="120"/>
      <c r="N16" s="120"/>
      <c r="O16" s="120"/>
      <c r="P16" s="120"/>
      <c r="Q16" s="119">
        <f>SUM(Q5:W15)</f>
        <v>315</v>
      </c>
      <c r="R16" s="120"/>
      <c r="S16" s="120"/>
      <c r="T16" s="120"/>
      <c r="U16" s="120"/>
      <c r="V16" s="120"/>
      <c r="W16" s="120"/>
      <c r="X16" s="119">
        <f>SUM(X5:AD15)</f>
        <v>876</v>
      </c>
      <c r="Y16" s="120"/>
      <c r="Z16" s="120"/>
      <c r="AA16" s="120"/>
      <c r="AB16" s="120"/>
      <c r="AC16" s="120"/>
      <c r="AD16" s="120"/>
      <c r="AE16" s="119">
        <f>SUM(AE5:AH15)</f>
        <v>361</v>
      </c>
      <c r="AF16" s="120"/>
      <c r="AG16" s="120"/>
      <c r="AH16" s="124"/>
      <c r="AI16" s="76">
        <f t="shared" si="0"/>
        <v>173.90322580645162</v>
      </c>
      <c r="AJ16" s="64">
        <f>SUM(AJ5,AJ6,AJ7,AJ8,AJ9,AJ10,AJ11,AJ12,AJ13,AJ14,AJ15)</f>
        <v>5391</v>
      </c>
      <c r="AK16" s="10">
        <f>SUM(AK5,AK6,AK7,AK8,AK9,AK10,AK11,AK12,AK13,AK14,AK15)</f>
        <v>169.6883852691218</v>
      </c>
    </row>
    <row r="17" spans="1:37" x14ac:dyDescent="0.3">
      <c r="A17" s="121" t="s">
        <v>11</v>
      </c>
      <c r="B17" s="121"/>
      <c r="C17" s="122"/>
      <c r="D17" s="123">
        <v>3787</v>
      </c>
      <c r="E17" s="111"/>
      <c r="F17" s="111"/>
      <c r="G17" s="111"/>
      <c r="H17" s="111"/>
      <c r="I17" s="11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11"/>
      <c r="AJ17" s="112"/>
      <c r="AK17" s="71"/>
    </row>
    <row r="18" spans="1:37" x14ac:dyDescent="0.3">
      <c r="A18" s="109" t="s">
        <v>24</v>
      </c>
      <c r="B18" s="109"/>
      <c r="C18" s="110"/>
      <c r="D18" s="111">
        <f>(AJ3+AJ4+D17)-AJ16</f>
        <v>1573</v>
      </c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2"/>
      <c r="AK18" s="34">
        <f>((AJ3+AJ4-AJ16)/(AJ3+AJ4))*100</f>
        <v>-69.68838526912181</v>
      </c>
    </row>
  </sheetData>
  <mergeCells count="20">
    <mergeCell ref="X16:AD16"/>
    <mergeCell ref="AE16:AH16"/>
    <mergeCell ref="A17:C17"/>
    <mergeCell ref="D17:AJ17"/>
    <mergeCell ref="A18:C18"/>
    <mergeCell ref="D18:AJ18"/>
    <mergeCell ref="D16:I16"/>
    <mergeCell ref="J16:P16"/>
    <mergeCell ref="Q16:W16"/>
    <mergeCell ref="A5:A16"/>
    <mergeCell ref="B5:B11"/>
    <mergeCell ref="B12:B15"/>
    <mergeCell ref="B16:C16"/>
    <mergeCell ref="A1:C2"/>
    <mergeCell ref="AI1:AI2"/>
    <mergeCell ref="AJ1:AJ2"/>
    <mergeCell ref="AK1:AK2"/>
    <mergeCell ref="A3:B4"/>
    <mergeCell ref="AI3:AI4"/>
    <mergeCell ref="AK3:AK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19"/>
  <sheetViews>
    <sheetView zoomScale="80" zoomScaleNormal="80" workbookViewId="0">
      <selection activeCell="B12" sqref="B12:B15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1.14062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75" customHeight="1" x14ac:dyDescent="0.3">
      <c r="A1" s="91"/>
      <c r="B1" s="91"/>
      <c r="C1" s="92"/>
      <c r="D1" s="78" t="s">
        <v>5</v>
      </c>
      <c r="E1" s="41" t="s">
        <v>4</v>
      </c>
      <c r="F1" s="42" t="s">
        <v>29</v>
      </c>
      <c r="G1" s="41" t="s">
        <v>9</v>
      </c>
      <c r="H1" s="41" t="s">
        <v>8</v>
      </c>
      <c r="I1" s="41" t="s">
        <v>7</v>
      </c>
      <c r="J1" s="42" t="s">
        <v>6</v>
      </c>
      <c r="K1" s="78" t="s">
        <v>5</v>
      </c>
      <c r="L1" s="41" t="s">
        <v>4</v>
      </c>
      <c r="M1" s="42" t="s">
        <v>29</v>
      </c>
      <c r="N1" s="41" t="s">
        <v>9</v>
      </c>
      <c r="O1" s="41" t="s">
        <v>8</v>
      </c>
      <c r="P1" s="41" t="s">
        <v>7</v>
      </c>
      <c r="Q1" s="42" t="s">
        <v>6</v>
      </c>
      <c r="R1" s="78" t="s">
        <v>5</v>
      </c>
      <c r="S1" s="41" t="s">
        <v>4</v>
      </c>
      <c r="T1" s="42" t="s">
        <v>29</v>
      </c>
      <c r="U1" s="41" t="s">
        <v>9</v>
      </c>
      <c r="V1" s="41" t="s">
        <v>8</v>
      </c>
      <c r="W1" s="41" t="s">
        <v>7</v>
      </c>
      <c r="X1" s="42" t="s">
        <v>6</v>
      </c>
      <c r="Y1" s="78" t="s">
        <v>5</v>
      </c>
      <c r="Z1" s="41" t="s">
        <v>4</v>
      </c>
      <c r="AA1" s="42" t="s">
        <v>29</v>
      </c>
      <c r="AB1" s="41" t="s">
        <v>9</v>
      </c>
      <c r="AC1" s="41" t="s">
        <v>8</v>
      </c>
      <c r="AD1" s="41" t="s">
        <v>7</v>
      </c>
      <c r="AE1" s="42" t="s">
        <v>6</v>
      </c>
      <c r="AF1" s="78" t="s">
        <v>5</v>
      </c>
      <c r="AG1" s="41" t="s">
        <v>4</v>
      </c>
      <c r="AH1" s="42"/>
      <c r="AI1" s="105" t="s">
        <v>31</v>
      </c>
      <c r="AJ1" s="95" t="s">
        <v>30</v>
      </c>
      <c r="AK1" s="97" t="s">
        <v>10</v>
      </c>
    </row>
    <row r="2" spans="1:37" x14ac:dyDescent="0.3">
      <c r="A2" s="93"/>
      <c r="B2" s="93"/>
      <c r="C2" s="94"/>
      <c r="D2" s="13">
        <v>1</v>
      </c>
      <c r="E2" s="14">
        <v>2</v>
      </c>
      <c r="F2" s="14">
        <v>3</v>
      </c>
      <c r="G2" s="14">
        <v>4</v>
      </c>
      <c r="H2" s="14">
        <v>5</v>
      </c>
      <c r="I2" s="14">
        <v>6</v>
      </c>
      <c r="J2" s="15">
        <v>7</v>
      </c>
      <c r="K2" s="14">
        <v>8</v>
      </c>
      <c r="L2" s="14">
        <v>9</v>
      </c>
      <c r="M2" s="14">
        <v>10</v>
      </c>
      <c r="N2" s="14">
        <v>11</v>
      </c>
      <c r="O2" s="14">
        <v>12</v>
      </c>
      <c r="P2" s="14">
        <v>13</v>
      </c>
      <c r="Q2" s="14">
        <v>14</v>
      </c>
      <c r="R2" s="14">
        <v>15</v>
      </c>
      <c r="S2" s="14">
        <v>16</v>
      </c>
      <c r="T2" s="14">
        <v>17</v>
      </c>
      <c r="U2" s="14">
        <v>18</v>
      </c>
      <c r="V2" s="14">
        <v>19</v>
      </c>
      <c r="W2" s="14">
        <v>20</v>
      </c>
      <c r="X2" s="14">
        <v>21</v>
      </c>
      <c r="Y2" s="14">
        <v>22</v>
      </c>
      <c r="Z2" s="14">
        <v>23</v>
      </c>
      <c r="AA2" s="14">
        <v>24</v>
      </c>
      <c r="AB2" s="14">
        <v>25</v>
      </c>
      <c r="AC2" s="13">
        <v>26</v>
      </c>
      <c r="AD2" s="14">
        <v>27</v>
      </c>
      <c r="AE2" s="15">
        <v>28</v>
      </c>
      <c r="AF2" s="14">
        <v>29</v>
      </c>
      <c r="AG2" s="15">
        <v>30</v>
      </c>
      <c r="AH2" s="14">
        <v>31</v>
      </c>
      <c r="AI2" s="106"/>
      <c r="AJ2" s="96"/>
      <c r="AK2" s="98"/>
    </row>
    <row r="3" spans="1:37" x14ac:dyDescent="0.3">
      <c r="A3" s="99" t="s">
        <v>28</v>
      </c>
      <c r="B3" s="100"/>
      <c r="C3" s="83" t="s">
        <v>0</v>
      </c>
      <c r="D3" s="17"/>
      <c r="E3" s="18"/>
      <c r="F3" s="18"/>
      <c r="G3" s="18"/>
      <c r="H3" s="18"/>
      <c r="I3" s="21"/>
      <c r="J3" s="19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>
        <v>1010</v>
      </c>
      <c r="Z3" s="18"/>
      <c r="AA3" s="18"/>
      <c r="AB3" s="18"/>
      <c r="AC3" s="17"/>
      <c r="AD3" s="18"/>
      <c r="AE3" s="20"/>
      <c r="AF3" s="18"/>
      <c r="AG3" s="20"/>
      <c r="AH3" s="18"/>
      <c r="AI3" s="107">
        <f>AJ3/30</f>
        <v>33.666666666666664</v>
      </c>
      <c r="AJ3" s="63">
        <f>SUM(D3:AH3)</f>
        <v>1010</v>
      </c>
      <c r="AK3" s="103">
        <v>100</v>
      </c>
    </row>
    <row r="4" spans="1:37" x14ac:dyDescent="0.3">
      <c r="A4" s="101"/>
      <c r="B4" s="102"/>
      <c r="C4" s="84" t="s">
        <v>12</v>
      </c>
      <c r="D4" s="21"/>
      <c r="E4" s="21"/>
      <c r="F4" s="21"/>
      <c r="G4" s="21"/>
      <c r="H4" s="21"/>
      <c r="I4" s="21"/>
      <c r="J4" s="22">
        <v>100</v>
      </c>
      <c r="K4" s="21"/>
      <c r="L4" s="21"/>
      <c r="M4" s="21">
        <v>420</v>
      </c>
      <c r="N4" s="21"/>
      <c r="O4" s="21"/>
      <c r="P4" s="21"/>
      <c r="Q4" s="21"/>
      <c r="R4" s="21">
        <v>20</v>
      </c>
      <c r="S4" s="21"/>
      <c r="T4" s="21">
        <v>20</v>
      </c>
      <c r="U4" s="21"/>
      <c r="V4" s="21"/>
      <c r="W4" s="21"/>
      <c r="X4" s="21"/>
      <c r="Y4" s="21"/>
      <c r="Z4" s="21"/>
      <c r="AA4" s="21"/>
      <c r="AB4" s="21"/>
      <c r="AC4" s="23"/>
      <c r="AD4" s="21"/>
      <c r="AE4" s="22"/>
      <c r="AF4" s="21">
        <v>15</v>
      </c>
      <c r="AG4" s="22"/>
      <c r="AH4" s="21"/>
      <c r="AI4" s="108"/>
      <c r="AJ4" s="63">
        <f>SUM(D4:AH4)</f>
        <v>575</v>
      </c>
      <c r="AK4" s="104"/>
    </row>
    <row r="5" spans="1:37" ht="18.75" customHeight="1" x14ac:dyDescent="0.3">
      <c r="A5" s="125" t="s">
        <v>27</v>
      </c>
      <c r="B5" s="115" t="s">
        <v>21</v>
      </c>
      <c r="C5" s="85" t="s">
        <v>13</v>
      </c>
      <c r="D5" s="24"/>
      <c r="E5" s="2"/>
      <c r="F5" s="2">
        <v>74</v>
      </c>
      <c r="G5" s="2">
        <v>13</v>
      </c>
      <c r="H5" s="2"/>
      <c r="I5" s="2">
        <v>20</v>
      </c>
      <c r="J5" s="25"/>
      <c r="K5" s="2">
        <v>17</v>
      </c>
      <c r="L5" s="2"/>
      <c r="M5" s="2"/>
      <c r="N5" s="2">
        <v>18</v>
      </c>
      <c r="O5" s="2"/>
      <c r="P5" s="2">
        <v>31</v>
      </c>
      <c r="Q5" s="2">
        <v>77</v>
      </c>
      <c r="R5" s="2">
        <v>7</v>
      </c>
      <c r="S5" s="2"/>
      <c r="T5" s="2"/>
      <c r="U5" s="2"/>
      <c r="V5" s="2">
        <v>11</v>
      </c>
      <c r="W5" s="2">
        <v>49</v>
      </c>
      <c r="X5" s="2">
        <v>23</v>
      </c>
      <c r="Y5" s="2"/>
      <c r="Z5" s="2">
        <v>11</v>
      </c>
      <c r="AA5" s="2"/>
      <c r="AB5" s="2">
        <v>33</v>
      </c>
      <c r="AC5" s="24">
        <v>4</v>
      </c>
      <c r="AD5" s="2">
        <v>17</v>
      </c>
      <c r="AE5" s="26">
        <v>41</v>
      </c>
      <c r="AF5" s="2">
        <v>9</v>
      </c>
      <c r="AG5" s="26"/>
      <c r="AH5" s="2"/>
      <c r="AI5" s="53">
        <f t="shared" ref="AI5:AI16" si="0">AJ5/30</f>
        <v>15.166666666666666</v>
      </c>
      <c r="AJ5" s="35">
        <f>SUM(D5,E5,F5,G5,H5,I5,J5,K5,L5,M5,N5,O5,P5,Q5,R5,S5,T5,U5,V5,W5,X5,Y5,Z5,AA5,AB5,AC5,AD5,AE5,AF5,AG5,AH5)</f>
        <v>455</v>
      </c>
      <c r="AK5" s="3">
        <f>(AJ5/(AJ3+AJ4))*100</f>
        <v>28.706624605678233</v>
      </c>
    </row>
    <row r="6" spans="1:37" x14ac:dyDescent="0.3">
      <c r="A6" s="126"/>
      <c r="B6" s="115"/>
      <c r="C6" s="86" t="s">
        <v>14</v>
      </c>
      <c r="D6" s="4">
        <v>2</v>
      </c>
      <c r="E6" s="4">
        <v>50</v>
      </c>
      <c r="F6" s="4">
        <v>9</v>
      </c>
      <c r="G6" s="4">
        <v>19</v>
      </c>
      <c r="H6" s="4"/>
      <c r="I6" s="4">
        <v>6</v>
      </c>
      <c r="J6" s="27">
        <v>13</v>
      </c>
      <c r="K6" s="4">
        <v>27</v>
      </c>
      <c r="L6" s="4"/>
      <c r="M6" s="4">
        <v>22</v>
      </c>
      <c r="N6" s="4">
        <v>18</v>
      </c>
      <c r="O6" s="4"/>
      <c r="P6" s="4">
        <v>4</v>
      </c>
      <c r="Q6" s="4">
        <v>13</v>
      </c>
      <c r="R6" s="4">
        <v>18</v>
      </c>
      <c r="S6" s="4"/>
      <c r="T6" s="4">
        <v>18</v>
      </c>
      <c r="U6" s="4">
        <v>12</v>
      </c>
      <c r="V6" s="4">
        <v>16</v>
      </c>
      <c r="W6" s="4"/>
      <c r="X6" s="4">
        <v>3</v>
      </c>
      <c r="Y6" s="4">
        <v>9</v>
      </c>
      <c r="Z6" s="4">
        <v>3</v>
      </c>
      <c r="AA6" s="4"/>
      <c r="AB6" s="4"/>
      <c r="AC6" s="28"/>
      <c r="AD6" s="4">
        <v>9</v>
      </c>
      <c r="AE6" s="27">
        <v>6</v>
      </c>
      <c r="AF6" s="4">
        <v>12</v>
      </c>
      <c r="AG6" s="27"/>
      <c r="AH6" s="4"/>
      <c r="AI6" s="54">
        <f t="shared" si="0"/>
        <v>9.6333333333333329</v>
      </c>
      <c r="AJ6" s="36">
        <f>SUM(D6,E6,F6,G6,H6,I6,J6,K6,L6,M6,N6,O6,P6,Q6,R6,S6,T6,U6,V6,W6,X6,Y6,Z6,AA6,AB6,AC6,AD6,AE6,AF6,AG6,AH6)</f>
        <v>289</v>
      </c>
      <c r="AK6" s="5">
        <f>(AJ6/(AJ3+AJ4))*100</f>
        <v>18.233438485804417</v>
      </c>
    </row>
    <row r="7" spans="1:37" x14ac:dyDescent="0.3">
      <c r="A7" s="126"/>
      <c r="B7" s="115"/>
      <c r="C7" s="86" t="s">
        <v>15</v>
      </c>
      <c r="D7" s="28"/>
      <c r="E7" s="4"/>
      <c r="F7" s="4"/>
      <c r="G7" s="4"/>
      <c r="H7" s="4"/>
      <c r="I7" s="4"/>
      <c r="J7" s="27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>
        <v>10</v>
      </c>
      <c r="AA7" s="4"/>
      <c r="AB7" s="4"/>
      <c r="AC7" s="28"/>
      <c r="AD7" s="4"/>
      <c r="AE7" s="27"/>
      <c r="AF7" s="4"/>
      <c r="AG7" s="27"/>
      <c r="AH7" s="4"/>
      <c r="AI7" s="54">
        <f t="shared" si="0"/>
        <v>0.33333333333333331</v>
      </c>
      <c r="AJ7" s="36">
        <f>SUM(D7,E7,F7,G7,H7,I7,J7,K7,L7,M7,N7,O7,P7,Q7,R7,S7,T7,U7,V7,W7,X7,Y7,Z7,AA7,AB7,AC7,AD7,AE7,AF7,AG7,AH7)</f>
        <v>10</v>
      </c>
      <c r="AK7" s="5">
        <f>(AJ7/(AJ3+AJ4))*100</f>
        <v>0.63091482649842268</v>
      </c>
    </row>
    <row r="8" spans="1:37" x14ac:dyDescent="0.3">
      <c r="A8" s="126"/>
      <c r="B8" s="115"/>
      <c r="C8" s="87" t="s">
        <v>16</v>
      </c>
      <c r="D8" s="48"/>
      <c r="E8" s="49"/>
      <c r="F8" s="49"/>
      <c r="G8" s="49"/>
      <c r="H8" s="49"/>
      <c r="I8" s="49">
        <v>4</v>
      </c>
      <c r="J8" s="50"/>
      <c r="K8" s="49"/>
      <c r="L8" s="49"/>
      <c r="M8" s="49"/>
      <c r="N8" s="49"/>
      <c r="O8" s="49"/>
      <c r="P8" s="49">
        <v>35</v>
      </c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8"/>
      <c r="AD8" s="49"/>
      <c r="AE8" s="50"/>
      <c r="AF8" s="49"/>
      <c r="AG8" s="50"/>
      <c r="AH8" s="49"/>
      <c r="AI8" s="57">
        <f t="shared" si="0"/>
        <v>1.3</v>
      </c>
      <c r="AJ8" s="51">
        <f>SUM(D8,E8,F8,G8,H8,I8,J8,K8,L8,M8,N8,O8,P8,Q8,R8,S8,T8,U8,V8,W8,X8,Y8,Z8,AA8,AB8,AC8,AD8,AE8,AF8,AG8,AH8)</f>
        <v>39</v>
      </c>
      <c r="AK8" s="52">
        <f>(AJ8/(AJ3+AJ4))*100</f>
        <v>2.4605678233438488</v>
      </c>
    </row>
    <row r="9" spans="1:37" x14ac:dyDescent="0.3">
      <c r="A9" s="126"/>
      <c r="B9" s="115"/>
      <c r="C9" s="85" t="s">
        <v>1</v>
      </c>
      <c r="D9" s="24"/>
      <c r="E9" s="2"/>
      <c r="F9" s="2"/>
      <c r="G9" s="2"/>
      <c r="H9" s="2"/>
      <c r="I9" s="2"/>
      <c r="J9" s="2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>
        <v>900</v>
      </c>
      <c r="AC9" s="24"/>
      <c r="AD9" s="2"/>
      <c r="AE9" s="26"/>
      <c r="AF9" s="2"/>
      <c r="AG9" s="26"/>
      <c r="AH9" s="2"/>
      <c r="AI9" s="53">
        <f t="shared" si="0"/>
        <v>30</v>
      </c>
      <c r="AJ9" s="35">
        <f>SUM(D9,E9,F9,G9,H9,I9,J9,K9,L9,M9,N9,O9,P9,Q9,R9,S9,T9,U9,V9,W9,X9,Y9,Z9,AA9,AB9,AC9,AD9,AE9,AF9,AG9,AH9)</f>
        <v>900</v>
      </c>
      <c r="AK9" s="3">
        <f>(AJ9/(AJ3+AJ4))*100</f>
        <v>56.782334384858046</v>
      </c>
    </row>
    <row r="10" spans="1:37" x14ac:dyDescent="0.3">
      <c r="A10" s="126"/>
      <c r="B10" s="115"/>
      <c r="C10" s="86" t="s">
        <v>17</v>
      </c>
      <c r="D10" s="4"/>
      <c r="E10" s="4"/>
      <c r="F10" s="4"/>
      <c r="G10" s="4"/>
      <c r="H10" s="4"/>
      <c r="I10" s="4"/>
      <c r="J10" s="27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>
        <v>200</v>
      </c>
      <c r="AC10" s="28">
        <v>30</v>
      </c>
      <c r="AD10" s="4"/>
      <c r="AE10" s="27"/>
      <c r="AF10" s="4"/>
      <c r="AG10" s="27"/>
      <c r="AH10" s="4"/>
      <c r="AI10" s="54">
        <f t="shared" si="0"/>
        <v>7.666666666666667</v>
      </c>
      <c r="AJ10" s="36">
        <f t="shared" ref="AJ10:AJ14" si="1">SUM(D10,E10,F10,G10,H10,I10,J10,K10,L10,M10,N10,O10,P10,Q10,R10,S10,T10,U10,V10,W10,X10,Y10,Z10,AA10,AB10,AC10,AD10,AE10,AF10,AG10,AH10)</f>
        <v>230</v>
      </c>
      <c r="AK10" s="5">
        <f>(AJ10/(AJ3+AJ4))*100</f>
        <v>14.511041009463725</v>
      </c>
    </row>
    <row r="11" spans="1:37" x14ac:dyDescent="0.3">
      <c r="A11" s="126"/>
      <c r="B11" s="115"/>
      <c r="C11" s="86" t="s">
        <v>18</v>
      </c>
      <c r="D11" s="24"/>
      <c r="E11" s="2">
        <v>267</v>
      </c>
      <c r="F11" s="2"/>
      <c r="G11" s="2"/>
      <c r="H11" s="2">
        <v>7</v>
      </c>
      <c r="I11" s="2"/>
      <c r="J11" s="25"/>
      <c r="K11" s="2"/>
      <c r="L11" s="2"/>
      <c r="M11" s="2"/>
      <c r="N11" s="2"/>
      <c r="O11" s="2"/>
      <c r="P11" s="2"/>
      <c r="Q11" s="2"/>
      <c r="R11" s="2">
        <v>20</v>
      </c>
      <c r="S11" s="2"/>
      <c r="T11" s="2"/>
      <c r="U11" s="2"/>
      <c r="V11" s="2"/>
      <c r="W11" s="2"/>
      <c r="X11" s="2"/>
      <c r="Y11" s="2"/>
      <c r="Z11" s="2">
        <v>5</v>
      </c>
      <c r="AA11" s="2"/>
      <c r="AB11" s="2"/>
      <c r="AC11" s="24"/>
      <c r="AD11" s="2"/>
      <c r="AE11" s="26"/>
      <c r="AF11" s="2"/>
      <c r="AG11" s="26"/>
      <c r="AH11" s="2"/>
      <c r="AI11" s="53">
        <f t="shared" si="0"/>
        <v>9.9666666666666668</v>
      </c>
      <c r="AJ11" s="35">
        <f>SUM(D11,E11,F11,G11,H11,I11,J11,K11,L11,M11,N11,O11,P11,Q11,R11,S11,T11,U11,V11,W11,X11,Y11,Z11,AA11,AB11,AC11,AD11,AE11,AF11,AG11,AH11)</f>
        <v>299</v>
      </c>
      <c r="AK11" s="3">
        <f>(AJ11/(AJ3+AJ4))*100</f>
        <v>18.864353312302839</v>
      </c>
    </row>
    <row r="12" spans="1:37" ht="18.75" customHeight="1" x14ac:dyDescent="0.3">
      <c r="A12" s="126"/>
      <c r="B12" s="137" t="s">
        <v>22</v>
      </c>
      <c r="C12" s="88" t="s">
        <v>2</v>
      </c>
      <c r="D12" s="6"/>
      <c r="E12" s="6"/>
      <c r="F12" s="6"/>
      <c r="G12" s="6">
        <v>8</v>
      </c>
      <c r="H12" s="6"/>
      <c r="I12" s="6"/>
      <c r="J12" s="29">
        <v>45</v>
      </c>
      <c r="K12" s="6">
        <v>13</v>
      </c>
      <c r="L12" s="6"/>
      <c r="M12" s="6"/>
      <c r="N12" s="6"/>
      <c r="O12" s="6"/>
      <c r="P12" s="6"/>
      <c r="Q12" s="6"/>
      <c r="R12" s="6">
        <v>7</v>
      </c>
      <c r="S12" s="6">
        <v>50</v>
      </c>
      <c r="T12" s="6">
        <v>11</v>
      </c>
      <c r="U12" s="6"/>
      <c r="V12" s="6"/>
      <c r="W12" s="6">
        <v>25</v>
      </c>
      <c r="X12" s="6"/>
      <c r="Y12" s="6"/>
      <c r="Z12" s="6">
        <v>35</v>
      </c>
      <c r="AA12" s="6"/>
      <c r="AB12" s="6"/>
      <c r="AC12" s="30">
        <v>10</v>
      </c>
      <c r="AD12" s="6"/>
      <c r="AE12" s="29"/>
      <c r="AF12" s="6"/>
      <c r="AG12" s="29"/>
      <c r="AH12" s="6"/>
      <c r="AI12" s="55">
        <f t="shared" si="0"/>
        <v>6.8</v>
      </c>
      <c r="AJ12" s="37">
        <f>SUM(D12,E12,F12,G12,H12,I12,J12,K12,L12,M12,N12,O12,P12,Q12,R12,S12,T12,U12,V12,W12,X12,Y12,Z12,AA12,AB12,AC12,AD12,AE12,AF12,AG12,AH12)</f>
        <v>204</v>
      </c>
      <c r="AK12" s="7">
        <f>(AJ12/(AJ3+AJ4))*100</f>
        <v>12.870662460567821</v>
      </c>
    </row>
    <row r="13" spans="1:37" ht="18" customHeight="1" x14ac:dyDescent="0.3">
      <c r="A13" s="126"/>
      <c r="B13" s="138"/>
      <c r="C13" s="88" t="s">
        <v>32</v>
      </c>
      <c r="D13" s="31"/>
      <c r="E13" s="8"/>
      <c r="F13" s="8"/>
      <c r="G13" s="8"/>
      <c r="H13" s="8"/>
      <c r="I13" s="8"/>
      <c r="J13" s="32"/>
      <c r="K13" s="8">
        <v>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>
        <v>20</v>
      </c>
      <c r="AA13" s="8"/>
      <c r="AB13" s="8"/>
      <c r="AC13" s="31">
        <v>10</v>
      </c>
      <c r="AD13" s="8"/>
      <c r="AE13" s="33"/>
      <c r="AF13" s="8">
        <v>6</v>
      </c>
      <c r="AG13" s="33"/>
      <c r="AH13" s="8"/>
      <c r="AI13" s="56">
        <f t="shared" si="0"/>
        <v>1.3666666666666667</v>
      </c>
      <c r="AJ13" s="38">
        <f t="shared" si="1"/>
        <v>41</v>
      </c>
      <c r="AK13" s="9">
        <f>(AJ13/(AJ3+AJ4))*100</f>
        <v>2.5867507886435335</v>
      </c>
    </row>
    <row r="14" spans="1:37" ht="19.5" customHeight="1" x14ac:dyDescent="0.3">
      <c r="A14" s="126"/>
      <c r="B14" s="138"/>
      <c r="C14" s="82" t="s">
        <v>19</v>
      </c>
      <c r="D14" s="6"/>
      <c r="E14" s="6"/>
      <c r="F14" s="6"/>
      <c r="G14" s="6"/>
      <c r="H14" s="6"/>
      <c r="I14" s="6"/>
      <c r="J14" s="29"/>
      <c r="K14" s="6"/>
      <c r="L14" s="6">
        <v>21</v>
      </c>
      <c r="M14" s="6">
        <v>50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30"/>
      <c r="AD14" s="6"/>
      <c r="AE14" s="29"/>
      <c r="AF14" s="6"/>
      <c r="AG14" s="29"/>
      <c r="AH14" s="6"/>
      <c r="AI14" s="55">
        <f t="shared" si="0"/>
        <v>2.3666666666666667</v>
      </c>
      <c r="AJ14" s="37">
        <f t="shared" si="1"/>
        <v>71</v>
      </c>
      <c r="AK14" s="7">
        <f>(AJ14/(AJ3+AJ4))*100</f>
        <v>4.4794952681388018</v>
      </c>
    </row>
    <row r="15" spans="1:37" x14ac:dyDescent="0.3">
      <c r="A15" s="126"/>
      <c r="B15" s="139"/>
      <c r="C15" s="88" t="s">
        <v>20</v>
      </c>
      <c r="D15" s="6"/>
      <c r="E15" s="6"/>
      <c r="F15" s="6"/>
      <c r="G15" s="6">
        <v>60</v>
      </c>
      <c r="H15" s="6">
        <v>10</v>
      </c>
      <c r="I15" s="6"/>
      <c r="J15" s="73"/>
      <c r="K15" s="74">
        <v>20</v>
      </c>
      <c r="L15" s="74">
        <v>10</v>
      </c>
      <c r="M15" s="74"/>
      <c r="N15" s="74"/>
      <c r="O15" s="74"/>
      <c r="P15" s="74"/>
      <c r="Q15" s="74"/>
      <c r="R15" s="74">
        <v>20</v>
      </c>
      <c r="S15" s="74"/>
      <c r="T15" s="74"/>
      <c r="U15" s="74"/>
      <c r="V15" s="74">
        <v>50</v>
      </c>
      <c r="W15" s="74"/>
      <c r="X15" s="74"/>
      <c r="Y15" s="74"/>
      <c r="Z15" s="74">
        <v>20</v>
      </c>
      <c r="AA15" s="74">
        <v>128</v>
      </c>
      <c r="AB15" s="74"/>
      <c r="AC15" s="75"/>
      <c r="AD15" s="74"/>
      <c r="AE15" s="73"/>
      <c r="AF15" s="74">
        <v>30</v>
      </c>
      <c r="AG15" s="73">
        <v>30</v>
      </c>
      <c r="AH15" s="74"/>
      <c r="AI15" s="55">
        <f t="shared" si="0"/>
        <v>12.6</v>
      </c>
      <c r="AJ15" s="37">
        <f>SUM(D15,E15,F15,G15,H15,I15,J15,K15,L15,M15,N15,O15,P15,Q15,R15,S15,T15,U15,V15,W15,X15,Y15,Z15,AA15,AB15,AC15,AD15,AE15,AF15,AG15,AH15)</f>
        <v>378</v>
      </c>
      <c r="AK15" s="7">
        <f>(AJ15/(AJ3+AJ4))*100</f>
        <v>23.848580441640379</v>
      </c>
    </row>
    <row r="16" spans="1:37" x14ac:dyDescent="0.3">
      <c r="A16" s="127"/>
      <c r="B16" s="119" t="s">
        <v>23</v>
      </c>
      <c r="C16" s="120"/>
      <c r="D16" s="119">
        <f>SUM(D5:F15)+361</f>
        <v>763</v>
      </c>
      <c r="E16" s="120"/>
      <c r="F16" s="124"/>
      <c r="G16" s="119">
        <f>SUM(G5:M15)</f>
        <v>390</v>
      </c>
      <c r="H16" s="120"/>
      <c r="I16" s="120"/>
      <c r="J16" s="120"/>
      <c r="K16" s="120"/>
      <c r="L16" s="120"/>
      <c r="M16" s="124"/>
      <c r="N16" s="119">
        <f>SUM(N5:T15)</f>
        <v>347</v>
      </c>
      <c r="O16" s="120"/>
      <c r="P16" s="120"/>
      <c r="Q16" s="120"/>
      <c r="R16" s="120"/>
      <c r="S16" s="120"/>
      <c r="T16" s="124"/>
      <c r="U16" s="119">
        <f>SUM(U5:AA15)</f>
        <v>430</v>
      </c>
      <c r="V16" s="120"/>
      <c r="W16" s="120"/>
      <c r="X16" s="120"/>
      <c r="Y16" s="120"/>
      <c r="Z16" s="120"/>
      <c r="AA16" s="124"/>
      <c r="AB16" s="119">
        <f>SUM(AB5:AG15)</f>
        <v>1347</v>
      </c>
      <c r="AC16" s="120"/>
      <c r="AD16" s="120"/>
      <c r="AE16" s="120"/>
      <c r="AF16" s="120"/>
      <c r="AG16" s="124"/>
      <c r="AH16" s="70"/>
      <c r="AI16" s="76">
        <f t="shared" si="0"/>
        <v>97.2</v>
      </c>
      <c r="AJ16" s="64">
        <f>SUM(AJ5,AJ6,AJ7,AJ8,AJ9,AJ10,AJ11,AJ12,AJ13,AJ14,AJ15)</f>
        <v>2916</v>
      </c>
      <c r="AK16" s="10">
        <f>SUM(AK5,AK6,AK7,AK8,AK9,AK10,AK11,AK12,AK13,AK14,AK15)</f>
        <v>183.97476340694004</v>
      </c>
    </row>
    <row r="17" spans="1:37" x14ac:dyDescent="0.3">
      <c r="A17" s="121" t="s">
        <v>25</v>
      </c>
      <c r="B17" s="121"/>
      <c r="C17" s="122"/>
      <c r="D17" s="123">
        <v>1573</v>
      </c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2"/>
      <c r="AK17" s="77"/>
    </row>
    <row r="18" spans="1:37" x14ac:dyDescent="0.3">
      <c r="A18" s="109" t="s">
        <v>24</v>
      </c>
      <c r="B18" s="109"/>
      <c r="C18" s="110"/>
      <c r="D18" s="123">
        <f>((AJ3+AJ4+D17)-AJ16)-D17</f>
        <v>-1331</v>
      </c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2"/>
      <c r="AK18" s="34">
        <f>((AJ3+AJ4-AJ16)/(AJ3+AJ4))*100</f>
        <v>-83.97476340694007</v>
      </c>
    </row>
    <row r="19" spans="1:37" x14ac:dyDescent="0.3">
      <c r="A19" s="135" t="s">
        <v>26</v>
      </c>
      <c r="B19" s="109"/>
      <c r="C19" s="110"/>
      <c r="D19" s="132">
        <f>(AJ3+AJ4+D17)-AJ16</f>
        <v>242</v>
      </c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4"/>
      <c r="AK19" s="79"/>
    </row>
  </sheetData>
  <mergeCells count="22">
    <mergeCell ref="D19:AJ19"/>
    <mergeCell ref="A19:C19"/>
    <mergeCell ref="A1:C2"/>
    <mergeCell ref="AI1:AI2"/>
    <mergeCell ref="AJ1:AJ2"/>
    <mergeCell ref="D17:AJ17"/>
    <mergeCell ref="AK1:AK2"/>
    <mergeCell ref="A3:B4"/>
    <mergeCell ref="AI3:AI4"/>
    <mergeCell ref="AK3:AK4"/>
    <mergeCell ref="A18:C18"/>
    <mergeCell ref="D18:AJ18"/>
    <mergeCell ref="G16:M16"/>
    <mergeCell ref="N16:T16"/>
    <mergeCell ref="A5:A16"/>
    <mergeCell ref="B5:B11"/>
    <mergeCell ref="B12:B15"/>
    <mergeCell ref="B16:C16"/>
    <mergeCell ref="U16:AA16"/>
    <mergeCell ref="AB16:AG16"/>
    <mergeCell ref="D16:F16"/>
    <mergeCell ref="A17:C1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19"/>
  <sheetViews>
    <sheetView tabSelected="1" zoomScale="78" zoomScaleNormal="78" workbookViewId="0">
      <selection activeCell="G21" sqref="G21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1.2851562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91"/>
      <c r="B1" s="91"/>
      <c r="C1" s="92"/>
      <c r="D1" s="42" t="s">
        <v>29</v>
      </c>
      <c r="E1" s="41" t="s">
        <v>9</v>
      </c>
      <c r="F1" s="41" t="s">
        <v>8</v>
      </c>
      <c r="G1" s="41" t="s">
        <v>7</v>
      </c>
      <c r="H1" s="42" t="s">
        <v>6</v>
      </c>
      <c r="I1" s="81" t="s">
        <v>5</v>
      </c>
      <c r="J1" s="41" t="s">
        <v>4</v>
      </c>
      <c r="K1" s="42" t="s">
        <v>29</v>
      </c>
      <c r="L1" s="41" t="s">
        <v>9</v>
      </c>
      <c r="M1" s="41" t="s">
        <v>8</v>
      </c>
      <c r="N1" s="41" t="s">
        <v>7</v>
      </c>
      <c r="O1" s="42" t="s">
        <v>6</v>
      </c>
      <c r="P1" s="81" t="s">
        <v>5</v>
      </c>
      <c r="Q1" s="41" t="s">
        <v>4</v>
      </c>
      <c r="R1" s="42" t="s">
        <v>29</v>
      </c>
      <c r="S1" s="41" t="s">
        <v>9</v>
      </c>
      <c r="T1" s="41" t="s">
        <v>8</v>
      </c>
      <c r="U1" s="41" t="s">
        <v>7</v>
      </c>
      <c r="V1" s="42" t="s">
        <v>6</v>
      </c>
      <c r="W1" s="81" t="s">
        <v>5</v>
      </c>
      <c r="X1" s="41" t="s">
        <v>4</v>
      </c>
      <c r="Y1" s="42" t="s">
        <v>29</v>
      </c>
      <c r="Z1" s="41" t="s">
        <v>9</v>
      </c>
      <c r="AA1" s="41" t="s">
        <v>8</v>
      </c>
      <c r="AB1" s="41" t="s">
        <v>7</v>
      </c>
      <c r="AC1" s="42" t="s">
        <v>6</v>
      </c>
      <c r="AD1" s="81" t="s">
        <v>5</v>
      </c>
      <c r="AE1" s="41" t="s">
        <v>4</v>
      </c>
      <c r="AF1" s="42" t="s">
        <v>29</v>
      </c>
      <c r="AG1" s="41" t="s">
        <v>9</v>
      </c>
      <c r="AH1" s="41" t="s">
        <v>8</v>
      </c>
      <c r="AI1" s="105" t="s">
        <v>31</v>
      </c>
      <c r="AJ1" s="95" t="s">
        <v>30</v>
      </c>
      <c r="AK1" s="97" t="s">
        <v>10</v>
      </c>
    </row>
    <row r="2" spans="1:37" ht="18.95" customHeight="1" x14ac:dyDescent="0.3">
      <c r="A2" s="93"/>
      <c r="B2" s="93"/>
      <c r="C2" s="94"/>
      <c r="D2" s="13">
        <v>1</v>
      </c>
      <c r="E2" s="14">
        <v>2</v>
      </c>
      <c r="F2" s="14">
        <v>3</v>
      </c>
      <c r="G2" s="14">
        <v>4</v>
      </c>
      <c r="H2" s="14">
        <v>5</v>
      </c>
      <c r="I2" s="14">
        <v>6</v>
      </c>
      <c r="J2" s="15">
        <v>7</v>
      </c>
      <c r="K2" s="14">
        <v>8</v>
      </c>
      <c r="L2" s="14">
        <v>9</v>
      </c>
      <c r="M2" s="14">
        <v>10</v>
      </c>
      <c r="N2" s="14">
        <v>11</v>
      </c>
      <c r="O2" s="14">
        <v>12</v>
      </c>
      <c r="P2" s="14">
        <v>13</v>
      </c>
      <c r="Q2" s="14">
        <v>14</v>
      </c>
      <c r="R2" s="14">
        <v>15</v>
      </c>
      <c r="S2" s="14">
        <v>16</v>
      </c>
      <c r="T2" s="14">
        <v>17</v>
      </c>
      <c r="U2" s="14">
        <v>18</v>
      </c>
      <c r="V2" s="14">
        <v>19</v>
      </c>
      <c r="W2" s="14">
        <v>20</v>
      </c>
      <c r="X2" s="14">
        <v>21</v>
      </c>
      <c r="Y2" s="14">
        <v>22</v>
      </c>
      <c r="Z2" s="14">
        <v>23</v>
      </c>
      <c r="AA2" s="14">
        <v>24</v>
      </c>
      <c r="AB2" s="14">
        <v>25</v>
      </c>
      <c r="AC2" s="13">
        <v>26</v>
      </c>
      <c r="AD2" s="14">
        <v>27</v>
      </c>
      <c r="AE2" s="15">
        <v>28</v>
      </c>
      <c r="AF2" s="14">
        <v>29</v>
      </c>
      <c r="AG2" s="15">
        <v>30</v>
      </c>
      <c r="AH2" s="14">
        <v>31</v>
      </c>
      <c r="AI2" s="106"/>
      <c r="AJ2" s="96"/>
      <c r="AK2" s="98"/>
    </row>
    <row r="3" spans="1:37" ht="18.95" customHeight="1" x14ac:dyDescent="0.3">
      <c r="A3" s="99" t="s">
        <v>28</v>
      </c>
      <c r="B3" s="100"/>
      <c r="C3" s="83" t="s">
        <v>0</v>
      </c>
      <c r="D3" s="17"/>
      <c r="E3" s="18"/>
      <c r="F3" s="18"/>
      <c r="G3" s="18"/>
      <c r="H3" s="18"/>
      <c r="I3" s="21">
        <v>874</v>
      </c>
      <c r="J3" s="19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>
        <v>980</v>
      </c>
      <c r="X3" s="18"/>
      <c r="Y3" s="18"/>
      <c r="Z3" s="18"/>
      <c r="AA3" s="18"/>
      <c r="AB3" s="18"/>
      <c r="AC3" s="17"/>
      <c r="AD3" s="18"/>
      <c r="AE3" s="20"/>
      <c r="AF3" s="18"/>
      <c r="AG3" s="20"/>
      <c r="AH3" s="18"/>
      <c r="AI3" s="107">
        <f>AJ3/31</f>
        <v>59.806451612903224</v>
      </c>
      <c r="AJ3" s="63">
        <f>SUM(D3:AH3)</f>
        <v>1854</v>
      </c>
      <c r="AK3" s="103">
        <v>100</v>
      </c>
    </row>
    <row r="4" spans="1:37" ht="18.95" customHeight="1" x14ac:dyDescent="0.3">
      <c r="A4" s="101"/>
      <c r="B4" s="102"/>
      <c r="C4" s="84" t="s">
        <v>12</v>
      </c>
      <c r="D4" s="21">
        <v>50</v>
      </c>
      <c r="E4" s="21"/>
      <c r="F4" s="21"/>
      <c r="G4" s="21"/>
      <c r="H4" s="21"/>
      <c r="I4" s="21"/>
      <c r="J4" s="22">
        <v>15</v>
      </c>
      <c r="K4" s="21"/>
      <c r="L4" s="21"/>
      <c r="M4" s="21"/>
      <c r="N4" s="21"/>
      <c r="O4" s="21"/>
      <c r="P4" s="21">
        <v>20</v>
      </c>
      <c r="Q4" s="21"/>
      <c r="R4" s="21">
        <v>85</v>
      </c>
      <c r="S4" s="21"/>
      <c r="T4" s="21"/>
      <c r="U4" s="21"/>
      <c r="V4" s="21"/>
      <c r="W4" s="21"/>
      <c r="X4" s="21">
        <v>7</v>
      </c>
      <c r="Y4" s="21">
        <v>70</v>
      </c>
      <c r="Z4" s="21"/>
      <c r="AA4" s="21"/>
      <c r="AB4" s="21"/>
      <c r="AC4" s="23"/>
      <c r="AD4" s="21"/>
      <c r="AE4" s="22"/>
      <c r="AF4" s="21"/>
      <c r="AG4" s="22"/>
      <c r="AH4" s="21"/>
      <c r="AI4" s="108"/>
      <c r="AJ4" s="63">
        <f>SUM(D4:AH4)</f>
        <v>247</v>
      </c>
      <c r="AK4" s="104"/>
    </row>
    <row r="5" spans="1:37" ht="18.95" customHeight="1" x14ac:dyDescent="0.3">
      <c r="A5" s="125" t="s">
        <v>27</v>
      </c>
      <c r="B5" s="115" t="s">
        <v>21</v>
      </c>
      <c r="C5" s="85" t="s">
        <v>13</v>
      </c>
      <c r="D5" s="24"/>
      <c r="E5" s="2">
        <v>24</v>
      </c>
      <c r="F5" s="2">
        <v>39</v>
      </c>
      <c r="G5" s="2">
        <v>34</v>
      </c>
      <c r="H5" s="2"/>
      <c r="I5" s="2"/>
      <c r="J5" s="25">
        <v>25</v>
      </c>
      <c r="K5" s="2">
        <v>6</v>
      </c>
      <c r="L5" s="2">
        <v>66</v>
      </c>
      <c r="M5" s="2">
        <v>15</v>
      </c>
      <c r="N5" s="2">
        <v>36</v>
      </c>
      <c r="O5" s="2">
        <v>13</v>
      </c>
      <c r="P5" s="2">
        <v>14</v>
      </c>
      <c r="Q5" s="2"/>
      <c r="R5" s="2"/>
      <c r="S5" s="2"/>
      <c r="T5" s="2">
        <v>22</v>
      </c>
      <c r="U5" s="2">
        <v>20</v>
      </c>
      <c r="V5" s="2">
        <v>24</v>
      </c>
      <c r="W5" s="2">
        <v>12</v>
      </c>
      <c r="X5" s="2"/>
      <c r="Y5" s="2">
        <v>22</v>
      </c>
      <c r="Z5" s="2">
        <v>15</v>
      </c>
      <c r="AA5" s="2">
        <v>12</v>
      </c>
      <c r="AB5" s="2">
        <v>39</v>
      </c>
      <c r="AC5" s="24">
        <v>10</v>
      </c>
      <c r="AD5" s="2">
        <v>7</v>
      </c>
      <c r="AE5" s="26">
        <v>75</v>
      </c>
      <c r="AF5" s="2"/>
      <c r="AG5" s="26">
        <v>11</v>
      </c>
      <c r="AH5" s="2">
        <v>9</v>
      </c>
      <c r="AI5" s="53">
        <f t="shared" ref="AI5:AI16" si="0">AJ5/31</f>
        <v>17.741935483870968</v>
      </c>
      <c r="AJ5" s="35">
        <f>SUM(D5,E5,F5,G5,H5,I5,J5,K5,L5,M5,N5,O5,P5,Q5,R5,S5,T5,U5,V5,W5,X5,Y5,Z5,AA5,AB5,AC5,AD5,AE5,AF5,AG5,AH5)</f>
        <v>550</v>
      </c>
      <c r="AK5" s="3">
        <f>(AJ5/(AJ3+AJ4))*100</f>
        <v>26.178010471204189</v>
      </c>
    </row>
    <row r="6" spans="1:37" ht="18.95" customHeight="1" x14ac:dyDescent="0.3">
      <c r="A6" s="126"/>
      <c r="B6" s="115"/>
      <c r="C6" s="86" t="s">
        <v>14</v>
      </c>
      <c r="D6" s="4">
        <v>71</v>
      </c>
      <c r="E6" s="4">
        <v>9</v>
      </c>
      <c r="F6" s="4">
        <v>5</v>
      </c>
      <c r="G6" s="4">
        <v>5</v>
      </c>
      <c r="H6" s="4">
        <v>6</v>
      </c>
      <c r="I6" s="4">
        <v>7</v>
      </c>
      <c r="J6" s="27">
        <v>5</v>
      </c>
      <c r="K6" s="4">
        <v>6</v>
      </c>
      <c r="L6" s="4">
        <v>5</v>
      </c>
      <c r="M6" s="4">
        <v>11</v>
      </c>
      <c r="N6" s="4">
        <v>11</v>
      </c>
      <c r="O6" s="4">
        <v>14</v>
      </c>
      <c r="P6" s="4">
        <v>29</v>
      </c>
      <c r="Q6" s="4"/>
      <c r="R6" s="4">
        <v>23</v>
      </c>
      <c r="S6" s="4">
        <v>5</v>
      </c>
      <c r="T6" s="4">
        <v>21</v>
      </c>
      <c r="U6" s="4">
        <v>9</v>
      </c>
      <c r="V6" s="4">
        <v>11</v>
      </c>
      <c r="W6" s="4">
        <v>5</v>
      </c>
      <c r="X6" s="4">
        <v>21</v>
      </c>
      <c r="Y6" s="4">
        <v>25</v>
      </c>
      <c r="Z6" s="4">
        <v>5</v>
      </c>
      <c r="AA6" s="4">
        <v>16</v>
      </c>
      <c r="AB6" s="4">
        <v>17</v>
      </c>
      <c r="AC6" s="28">
        <v>17</v>
      </c>
      <c r="AD6" s="4">
        <v>7</v>
      </c>
      <c r="AE6" s="27">
        <v>6</v>
      </c>
      <c r="AF6" s="4"/>
      <c r="AG6" s="27">
        <v>17</v>
      </c>
      <c r="AH6" s="4">
        <v>17</v>
      </c>
      <c r="AI6" s="54">
        <f t="shared" si="0"/>
        <v>13.096774193548388</v>
      </c>
      <c r="AJ6" s="36">
        <f>SUM(D6,E6,F6,G6,H6,I6,J6,K6,L6,M6,N6,O6,P6,Q6,R6,S6,T6,U6,V6,W6,X6,Y6,Z6,AA6,AB6,AC6,AD6,AE6,AF6,AG6,AH6)</f>
        <v>406</v>
      </c>
      <c r="AK6" s="5">
        <f>(AJ6/(AJ3+AJ4))*100</f>
        <v>19.324131366016182</v>
      </c>
    </row>
    <row r="7" spans="1:37" ht="18.95" customHeight="1" x14ac:dyDescent="0.3">
      <c r="A7" s="126"/>
      <c r="B7" s="115"/>
      <c r="C7" s="86" t="s">
        <v>15</v>
      </c>
      <c r="D7" s="28"/>
      <c r="E7" s="4"/>
      <c r="F7" s="4"/>
      <c r="G7" s="4"/>
      <c r="H7" s="4"/>
      <c r="I7" s="4"/>
      <c r="J7" s="27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8"/>
      <c r="AD7" s="4"/>
      <c r="AE7" s="27"/>
      <c r="AF7" s="4"/>
      <c r="AG7" s="27"/>
      <c r="AH7" s="4"/>
      <c r="AI7" s="54">
        <f t="shared" si="0"/>
        <v>0</v>
      </c>
      <c r="AJ7" s="36">
        <f>SUM(D7,E7,F7,G7,H7,I7,J7,K7,L7,M7,N7,O7,P7,Q7,R7,S7,T7,U7,V7,W7,X7,Y7,Z7,AA7,AB7,AC7,AD7,AE7,AF7,AG7,AH7)</f>
        <v>0</v>
      </c>
      <c r="AK7" s="5">
        <f>(AJ7/(AJ3+AJ4))*100</f>
        <v>0</v>
      </c>
    </row>
    <row r="8" spans="1:37" ht="18.95" customHeight="1" x14ac:dyDescent="0.3">
      <c r="A8" s="126"/>
      <c r="B8" s="115"/>
      <c r="C8" s="87" t="s">
        <v>16</v>
      </c>
      <c r="D8" s="48"/>
      <c r="E8" s="49">
        <v>10</v>
      </c>
      <c r="F8" s="49">
        <v>2</v>
      </c>
      <c r="G8" s="49"/>
      <c r="H8" s="49"/>
      <c r="I8" s="49"/>
      <c r="J8" s="50"/>
      <c r="K8" s="49"/>
      <c r="L8" s="49">
        <v>25</v>
      </c>
      <c r="M8" s="49"/>
      <c r="N8" s="49"/>
      <c r="O8" s="49">
        <v>26</v>
      </c>
      <c r="P8" s="49"/>
      <c r="Q8" s="49"/>
      <c r="R8" s="49"/>
      <c r="S8" s="49"/>
      <c r="T8" s="49">
        <v>11</v>
      </c>
      <c r="U8" s="49">
        <v>3</v>
      </c>
      <c r="V8" s="49"/>
      <c r="W8" s="49"/>
      <c r="X8" s="49"/>
      <c r="Y8" s="49"/>
      <c r="Z8" s="49"/>
      <c r="AA8" s="49"/>
      <c r="AB8" s="49"/>
      <c r="AC8" s="48"/>
      <c r="AD8" s="49"/>
      <c r="AE8" s="50"/>
      <c r="AF8" s="49"/>
      <c r="AG8" s="50"/>
      <c r="AH8" s="49">
        <v>4</v>
      </c>
      <c r="AI8" s="57">
        <f t="shared" si="0"/>
        <v>2.6129032258064515</v>
      </c>
      <c r="AJ8" s="51">
        <f>SUM(D8,E8,F8,G8,H8,I8,J8,K8,L8,M8,N8,O8,P8,Q8,R8,S8,T8,U8,V8,W8,X8,Y8,Z8,AA8,AB8,AC8,AD8,AE8,AF8,AG8,AH8)</f>
        <v>81</v>
      </c>
      <c r="AK8" s="52">
        <f>(AJ8/(AJ3+AJ4))*100</f>
        <v>3.8553069966682534</v>
      </c>
    </row>
    <row r="9" spans="1:37" ht="18.95" customHeight="1" x14ac:dyDescent="0.3">
      <c r="A9" s="126"/>
      <c r="B9" s="115"/>
      <c r="C9" s="85" t="s">
        <v>1</v>
      </c>
      <c r="D9" s="24"/>
      <c r="E9" s="2">
        <v>100</v>
      </c>
      <c r="F9" s="2"/>
      <c r="G9" s="2"/>
      <c r="H9" s="2"/>
      <c r="I9" s="2"/>
      <c r="J9" s="2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4"/>
      <c r="AD9" s="2"/>
      <c r="AE9" s="26"/>
      <c r="AF9" s="2"/>
      <c r="AG9" s="26"/>
      <c r="AH9" s="2"/>
      <c r="AI9" s="53">
        <f t="shared" si="0"/>
        <v>3.225806451612903</v>
      </c>
      <c r="AJ9" s="35">
        <f>SUM(D9,E9,F9,G9,H9,I9,J9,K9,L9,M9,N9,O9,P9,Q9,R9,S9,T9,U9,V9,W9,X9,Y9,Z9,AA9,AB9,AC9,AD9,AE9,AF9,AG9,AH9)</f>
        <v>100</v>
      </c>
      <c r="AK9" s="3">
        <f>(AJ9/(AJ3+AJ4))*100</f>
        <v>4.7596382674916704</v>
      </c>
    </row>
    <row r="10" spans="1:37" ht="18.95" customHeight="1" x14ac:dyDescent="0.3">
      <c r="A10" s="126"/>
      <c r="B10" s="115"/>
      <c r="C10" s="86" t="s">
        <v>17</v>
      </c>
      <c r="D10" s="4"/>
      <c r="E10" s="4"/>
      <c r="F10" s="4"/>
      <c r="G10" s="4"/>
      <c r="H10" s="4"/>
      <c r="I10" s="4"/>
      <c r="J10" s="27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>
        <v>250</v>
      </c>
      <c r="AB10" s="4"/>
      <c r="AC10" s="28"/>
      <c r="AD10" s="4"/>
      <c r="AE10" s="27"/>
      <c r="AF10" s="4"/>
      <c r="AG10" s="27"/>
      <c r="AH10" s="4"/>
      <c r="AI10" s="54">
        <f t="shared" si="0"/>
        <v>8.064516129032258</v>
      </c>
      <c r="AJ10" s="36">
        <f t="shared" ref="AJ10:AJ14" si="1">SUM(D10,E10,F10,G10,H10,I10,J10,K10,L10,M10,N10,O10,P10,Q10,R10,S10,T10,U10,V10,W10,X10,Y10,Z10,AA10,AB10,AC10,AD10,AE10,AF10,AG10,AH10)</f>
        <v>250</v>
      </c>
      <c r="AK10" s="5">
        <f>(AJ10/(AJ3+AJ4))*100</f>
        <v>11.899095668729176</v>
      </c>
    </row>
    <row r="11" spans="1:37" ht="18.95" customHeight="1" x14ac:dyDescent="0.3">
      <c r="A11" s="126"/>
      <c r="B11" s="115"/>
      <c r="C11" s="86" t="s">
        <v>18</v>
      </c>
      <c r="D11" s="24"/>
      <c r="E11" s="2"/>
      <c r="F11" s="2"/>
      <c r="G11" s="2"/>
      <c r="H11" s="2"/>
      <c r="I11" s="2"/>
      <c r="J11" s="25"/>
      <c r="K11" s="2"/>
      <c r="L11" s="2"/>
      <c r="M11" s="2"/>
      <c r="N11" s="2"/>
      <c r="O11" s="2"/>
      <c r="P11" s="2"/>
      <c r="Q11" s="2">
        <v>200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4"/>
      <c r="AD11" s="2"/>
      <c r="AE11" s="26"/>
      <c r="AF11" s="2"/>
      <c r="AG11" s="26"/>
      <c r="AH11" s="2"/>
      <c r="AI11" s="53">
        <f t="shared" si="0"/>
        <v>6.4516129032258061</v>
      </c>
      <c r="AJ11" s="35">
        <f>SUM(D11,E11,F11,G11,H11,I11,J11,K11,L11,M11,N11,O11,P11,Q11,R11,S11,T11,U11,V11,W11,X11,Y11,Z11,AA11,AB11,AC11,AD11,AE11,AF11,AG11,AH11)</f>
        <v>200</v>
      </c>
      <c r="AK11" s="3">
        <f>(AJ11/(AJ3+AJ4))*100</f>
        <v>9.5192765349833408</v>
      </c>
    </row>
    <row r="12" spans="1:37" ht="18.95" customHeight="1" x14ac:dyDescent="0.3">
      <c r="A12" s="126"/>
      <c r="B12" s="116" t="s">
        <v>22</v>
      </c>
      <c r="C12" s="88" t="s">
        <v>2</v>
      </c>
      <c r="D12" s="6"/>
      <c r="E12" s="6"/>
      <c r="F12" s="6"/>
      <c r="G12" s="6"/>
      <c r="H12" s="6"/>
      <c r="I12" s="6"/>
      <c r="J12" s="29">
        <v>14</v>
      </c>
      <c r="K12" s="6"/>
      <c r="L12" s="6"/>
      <c r="M12" s="6"/>
      <c r="N12" s="6"/>
      <c r="O12" s="6">
        <v>21</v>
      </c>
      <c r="P12" s="6">
        <v>9</v>
      </c>
      <c r="Q12" s="6"/>
      <c r="R12" s="6"/>
      <c r="S12" s="6"/>
      <c r="T12" s="6"/>
      <c r="U12" s="6"/>
      <c r="V12" s="6"/>
      <c r="W12" s="6">
        <v>11</v>
      </c>
      <c r="X12" s="6"/>
      <c r="Y12" s="6"/>
      <c r="Z12" s="6"/>
      <c r="AA12" s="6"/>
      <c r="AB12" s="6">
        <v>20</v>
      </c>
      <c r="AC12" s="30">
        <v>22</v>
      </c>
      <c r="AD12" s="6">
        <v>17</v>
      </c>
      <c r="AE12" s="29"/>
      <c r="AF12" s="6"/>
      <c r="AG12" s="29"/>
      <c r="AH12" s="6"/>
      <c r="AI12" s="55">
        <f t="shared" si="0"/>
        <v>3.6774193548387095</v>
      </c>
      <c r="AJ12" s="37">
        <f>SUM(D12,E12,F12,G12,H12,I12,J12,K12,L12,M12,N12,O12,P12,Q12,R12,S12,T12,U12,V12,W12,X12,Y12,Z12,AA12,AB12,AC12,AD12,AE12,AF12,AG12,AH12)</f>
        <v>114</v>
      </c>
      <c r="AK12" s="7">
        <f>(AJ12/(AJ3+AJ4))*100</f>
        <v>5.4259876249405048</v>
      </c>
    </row>
    <row r="13" spans="1:37" ht="18.95" customHeight="1" x14ac:dyDescent="0.3">
      <c r="A13" s="126"/>
      <c r="B13" s="117"/>
      <c r="C13" s="88" t="s">
        <v>32</v>
      </c>
      <c r="D13" s="31"/>
      <c r="E13" s="8"/>
      <c r="F13" s="8"/>
      <c r="G13" s="8"/>
      <c r="H13" s="8"/>
      <c r="I13" s="8"/>
      <c r="J13" s="32">
        <v>13</v>
      </c>
      <c r="K13" s="8"/>
      <c r="L13" s="8"/>
      <c r="M13" s="8"/>
      <c r="N13" s="8"/>
      <c r="O13" s="8">
        <v>9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31"/>
      <c r="AD13" s="8">
        <v>4</v>
      </c>
      <c r="AE13" s="33"/>
      <c r="AF13" s="8"/>
      <c r="AG13" s="33"/>
      <c r="AH13" s="8"/>
      <c r="AI13" s="56">
        <f t="shared" si="0"/>
        <v>0.83870967741935487</v>
      </c>
      <c r="AJ13" s="38">
        <f t="shared" si="1"/>
        <v>26</v>
      </c>
      <c r="AK13" s="9">
        <f>(AJ13/(AJ3+AJ4))*100</f>
        <v>1.2375059495478342</v>
      </c>
    </row>
    <row r="14" spans="1:37" ht="18.95" customHeight="1" x14ac:dyDescent="0.3">
      <c r="A14" s="126"/>
      <c r="B14" s="117"/>
      <c r="C14" s="82" t="s">
        <v>19</v>
      </c>
      <c r="D14" s="6"/>
      <c r="E14" s="6"/>
      <c r="F14" s="6"/>
      <c r="G14" s="6"/>
      <c r="H14" s="6"/>
      <c r="I14" s="6"/>
      <c r="J14" s="29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30"/>
      <c r="AD14" s="6">
        <v>317</v>
      </c>
      <c r="AE14" s="29"/>
      <c r="AF14" s="6"/>
      <c r="AG14" s="29"/>
      <c r="AH14" s="6"/>
      <c r="AI14" s="55">
        <f t="shared" si="0"/>
        <v>10.225806451612904</v>
      </c>
      <c r="AJ14" s="37">
        <f t="shared" si="1"/>
        <v>317</v>
      </c>
      <c r="AK14" s="7">
        <f>(AJ14/(AJ3+AJ4))*100</f>
        <v>15.088053307948595</v>
      </c>
    </row>
    <row r="15" spans="1:37" ht="18.95" customHeight="1" x14ac:dyDescent="0.3">
      <c r="A15" s="126"/>
      <c r="B15" s="118"/>
      <c r="C15" s="88" t="s">
        <v>20</v>
      </c>
      <c r="D15" s="74"/>
      <c r="E15" s="74"/>
      <c r="F15" s="74"/>
      <c r="G15" s="74"/>
      <c r="H15" s="74"/>
      <c r="I15" s="74"/>
      <c r="J15" s="73"/>
      <c r="K15" s="74"/>
      <c r="L15" s="74"/>
      <c r="M15" s="74"/>
      <c r="N15" s="74"/>
      <c r="O15" s="74"/>
      <c r="P15" s="74">
        <v>30</v>
      </c>
      <c r="Q15" s="74">
        <v>20</v>
      </c>
      <c r="R15" s="74"/>
      <c r="S15" s="74"/>
      <c r="T15" s="74"/>
      <c r="U15" s="74"/>
      <c r="V15" s="74">
        <v>10</v>
      </c>
      <c r="W15" s="74"/>
      <c r="X15" s="74">
        <v>50</v>
      </c>
      <c r="Y15" s="74"/>
      <c r="Z15" s="74"/>
      <c r="AA15" s="74"/>
      <c r="AB15" s="74">
        <v>100</v>
      </c>
      <c r="AC15" s="75"/>
      <c r="AD15" s="74"/>
      <c r="AE15" s="73"/>
      <c r="AF15" s="74"/>
      <c r="AG15" s="73"/>
      <c r="AH15" s="74"/>
      <c r="AI15" s="55">
        <f t="shared" si="0"/>
        <v>6.774193548387097</v>
      </c>
      <c r="AJ15" s="37">
        <f>SUM(D15,E15,F15,G15,H15,I15,J15,K15,L15,M15,N15,O15,P15,Q15,R15,S15,T15,U15,V15,W15,X15,Y15,Z15,AA15,AB15,AC15,AD15,AE15,AF15,AG15,AH15)</f>
        <v>210</v>
      </c>
      <c r="AK15" s="7">
        <f>(AJ15/(AJ3+AJ4))*100</f>
        <v>9.9952403617325096</v>
      </c>
    </row>
    <row r="16" spans="1:37" ht="18.399999999999999" customHeight="1" x14ac:dyDescent="0.3">
      <c r="A16" s="127"/>
      <c r="B16" s="119" t="s">
        <v>23</v>
      </c>
      <c r="C16" s="120"/>
      <c r="D16" s="68"/>
      <c r="E16" s="119">
        <f>SUM(E5:K15)</f>
        <v>310</v>
      </c>
      <c r="F16" s="120"/>
      <c r="G16" s="120"/>
      <c r="H16" s="120"/>
      <c r="I16" s="120"/>
      <c r="J16" s="120"/>
      <c r="K16" s="124"/>
      <c r="L16" s="119">
        <f>SUM(L5:R15)</f>
        <v>577</v>
      </c>
      <c r="M16" s="120"/>
      <c r="N16" s="120"/>
      <c r="O16" s="120"/>
      <c r="P16" s="120"/>
      <c r="Q16" s="120"/>
      <c r="R16" s="124"/>
      <c r="S16" s="119">
        <f>SUM(S5:Y15)</f>
        <v>282</v>
      </c>
      <c r="T16" s="120"/>
      <c r="U16" s="120"/>
      <c r="V16" s="120"/>
      <c r="W16" s="120"/>
      <c r="X16" s="120"/>
      <c r="Y16" s="124"/>
      <c r="Z16" s="119">
        <f>SUM(Z5:AF15)</f>
        <v>956</v>
      </c>
      <c r="AA16" s="120"/>
      <c r="AB16" s="120"/>
      <c r="AC16" s="120"/>
      <c r="AD16" s="120"/>
      <c r="AE16" s="120"/>
      <c r="AF16" s="124"/>
      <c r="AG16" s="69"/>
      <c r="AH16" s="70"/>
      <c r="AI16" s="76">
        <f t="shared" si="0"/>
        <v>72.709677419354833</v>
      </c>
      <c r="AJ16" s="64">
        <f>SUM(AJ5,AJ6,AJ7,AJ8,AJ9,AJ10,AJ11,AJ12,AJ13,AJ14,AJ15)</f>
        <v>2254</v>
      </c>
      <c r="AK16" s="10">
        <f>SUM(AK5,AK6,AK7,AK8,AK9,AK10,AK11,AK12,AK13,AK14,AK15)</f>
        <v>107.28224654926227</v>
      </c>
    </row>
    <row r="17" spans="1:37" ht="18" customHeight="1" x14ac:dyDescent="0.3">
      <c r="A17" s="121" t="s">
        <v>25</v>
      </c>
      <c r="B17" s="121"/>
      <c r="C17" s="122"/>
      <c r="D17" s="136">
        <v>242</v>
      </c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11"/>
      <c r="AJ17" s="112"/>
      <c r="AK17" s="80"/>
    </row>
    <row r="18" spans="1:37" ht="18" customHeight="1" x14ac:dyDescent="0.3">
      <c r="A18" s="109" t="s">
        <v>24</v>
      </c>
      <c r="B18" s="109"/>
      <c r="C18" s="110"/>
      <c r="D18" s="123">
        <f>((AJ3+AJ4+D17)-AJ16)-D17</f>
        <v>-153</v>
      </c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2"/>
      <c r="AK18" s="34">
        <f>((AJ3+AJ4-AJ16)/(AJ3+AJ4))*100</f>
        <v>-7.2822465492622559</v>
      </c>
    </row>
    <row r="19" spans="1:37" ht="18" customHeight="1" x14ac:dyDescent="0.3">
      <c r="A19" s="135" t="s">
        <v>26</v>
      </c>
      <c r="B19" s="109"/>
      <c r="C19" s="110"/>
      <c r="D19" s="132">
        <f>(AJ3+AJ4+D17)-AJ16</f>
        <v>89</v>
      </c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4"/>
      <c r="AK19" s="79"/>
    </row>
  </sheetData>
  <mergeCells count="21">
    <mergeCell ref="A19:C19"/>
    <mergeCell ref="D19:AJ19"/>
    <mergeCell ref="E16:K16"/>
    <mergeCell ref="L16:R16"/>
    <mergeCell ref="S16:Y16"/>
    <mergeCell ref="Z16:AF16"/>
    <mergeCell ref="A17:C17"/>
    <mergeCell ref="D17:AJ17"/>
    <mergeCell ref="A18:C18"/>
    <mergeCell ref="D18:AJ18"/>
    <mergeCell ref="A5:A16"/>
    <mergeCell ref="B5:B11"/>
    <mergeCell ref="B12:B15"/>
    <mergeCell ref="B16:C16"/>
    <mergeCell ref="A1:C2"/>
    <mergeCell ref="AI1:AI2"/>
    <mergeCell ref="AJ1:AJ2"/>
    <mergeCell ref="AK1:AK2"/>
    <mergeCell ref="A3:B4"/>
    <mergeCell ref="AI3:AI4"/>
    <mergeCell ref="AK3:AK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Січень 2013 </vt:lpstr>
      <vt:lpstr>Лютий 2013 </vt:lpstr>
      <vt:lpstr>Березень 2013</vt:lpstr>
      <vt:lpstr>Квітень 2013</vt:lpstr>
      <vt:lpstr>Травень 2013</vt:lpstr>
      <vt:lpstr>Червень 2013</vt:lpstr>
      <vt:lpstr>Липень 2013</vt:lpstr>
      <vt:lpstr>Серпень 2013</vt:lpstr>
      <vt:lpstr>Вересень 2013</vt:lpstr>
      <vt:lpstr>Жовтень 2013</vt:lpstr>
      <vt:lpstr>Листопад 2013</vt:lpstr>
      <vt:lpstr>Грудень 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2026-08-28T08:21:57Z</dcterms:modified>
</cp:coreProperties>
</file>