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BA5401C-7F92-412C-9825-8BD0A1B9190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Январь 2015" sheetId="28" r:id="rId1"/>
    <sheet name="Февраль 2015" sheetId="30" r:id="rId2"/>
    <sheet name="Март 2015" sheetId="31" r:id="rId3"/>
    <sheet name="Апрель 2015" sheetId="32" r:id="rId4"/>
    <sheet name="Май 2015" sheetId="33" r:id="rId5"/>
    <sheet name="Июнь 2015" sheetId="34" r:id="rId6"/>
    <sheet name="Июль 2015" sheetId="35" r:id="rId7"/>
    <sheet name="Август 2015" sheetId="36" r:id="rId8"/>
    <sheet name="Сентябрь 2015" sheetId="37" r:id="rId9"/>
    <sheet name="Октябрь 2015" sheetId="38" r:id="rId10"/>
    <sheet name="Ноябрь 2015" sheetId="39" r:id="rId11"/>
    <sheet name="Декабрь 2015" sheetId="4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6" i="40" l="1"/>
  <c r="X16" i="40"/>
  <c r="Q16" i="40"/>
  <c r="J16" i="40"/>
  <c r="D16" i="40"/>
  <c r="AJ15" i="40"/>
  <c r="AJ14" i="40"/>
  <c r="AI14" i="40" s="1"/>
  <c r="AJ13" i="40"/>
  <c r="AJ12" i="40"/>
  <c r="AI12" i="40" s="1"/>
  <c r="AJ11" i="40"/>
  <c r="AJ10" i="40"/>
  <c r="AI10" i="40" s="1"/>
  <c r="AJ9" i="40"/>
  <c r="AJ8" i="40"/>
  <c r="AI8" i="40" s="1"/>
  <c r="AJ7" i="40"/>
  <c r="AJ6" i="40"/>
  <c r="AI6" i="40" s="1"/>
  <c r="AJ5" i="40"/>
  <c r="AJ4" i="40"/>
  <c r="AJ3" i="40"/>
  <c r="AJ16" i="40" l="1"/>
  <c r="AI16" i="40" s="1"/>
  <c r="AK9" i="40"/>
  <c r="AK13" i="40"/>
  <c r="AI3" i="40"/>
  <c r="AK7" i="40"/>
  <c r="AK11" i="40"/>
  <c r="AK15" i="40"/>
  <c r="AK6" i="40"/>
  <c r="AK8" i="40"/>
  <c r="AK10" i="40"/>
  <c r="AK12" i="40"/>
  <c r="AK14" i="40"/>
  <c r="AI5" i="40"/>
  <c r="AK5" i="40"/>
  <c r="AI7" i="40"/>
  <c r="AI9" i="40"/>
  <c r="AI11" i="40"/>
  <c r="AI13" i="40"/>
  <c r="AI15" i="40"/>
  <c r="AK16" i="40" l="1"/>
  <c r="D18" i="40"/>
  <c r="AK18" i="40"/>
  <c r="D19" i="40"/>
  <c r="Z16" i="39"/>
  <c r="S16" i="39"/>
  <c r="L16" i="39"/>
  <c r="E16" i="39"/>
  <c r="AJ15" i="39"/>
  <c r="AJ14" i="39"/>
  <c r="AI14" i="39" s="1"/>
  <c r="AJ13" i="39"/>
  <c r="AJ12" i="39"/>
  <c r="AI12" i="39" s="1"/>
  <c r="AJ11" i="39"/>
  <c r="AJ10" i="39"/>
  <c r="AI10" i="39" s="1"/>
  <c r="AJ9" i="39"/>
  <c r="AJ8" i="39"/>
  <c r="AI8" i="39" s="1"/>
  <c r="AJ7" i="39"/>
  <c r="AJ6" i="39"/>
  <c r="AI6" i="39" s="1"/>
  <c r="AJ5" i="39"/>
  <c r="AJ4" i="39"/>
  <c r="AJ3" i="39"/>
  <c r="AI3" i="39" l="1"/>
  <c r="AJ16" i="39"/>
  <c r="AK10" i="39"/>
  <c r="AK7" i="39"/>
  <c r="AK11" i="39"/>
  <c r="AK15" i="39"/>
  <c r="AK9" i="39"/>
  <c r="AK13" i="39"/>
  <c r="AK6" i="39"/>
  <c r="AK8" i="39"/>
  <c r="AK12" i="39"/>
  <c r="AI5" i="39"/>
  <c r="AK5" i="39"/>
  <c r="AI7" i="39"/>
  <c r="AI9" i="39"/>
  <c r="AI11" i="39"/>
  <c r="AI13" i="39"/>
  <c r="AI15" i="39"/>
  <c r="AK14" i="39"/>
  <c r="D16" i="38"/>
  <c r="AC16" i="38"/>
  <c r="V16" i="38"/>
  <c r="O16" i="38"/>
  <c r="H16" i="38"/>
  <c r="AJ15" i="38"/>
  <c r="AJ14" i="38"/>
  <c r="AI14" i="38" s="1"/>
  <c r="AJ13" i="38"/>
  <c r="AJ12" i="38"/>
  <c r="AI12" i="38" s="1"/>
  <c r="AJ11" i="38"/>
  <c r="AJ10" i="38"/>
  <c r="AI10" i="38" s="1"/>
  <c r="AJ9" i="38"/>
  <c r="AJ8" i="38"/>
  <c r="AI8" i="38" s="1"/>
  <c r="AJ7" i="38"/>
  <c r="AJ6" i="38"/>
  <c r="AJ5" i="38"/>
  <c r="AJ4" i="38"/>
  <c r="AJ3" i="38"/>
  <c r="AI3" i="38" l="1"/>
  <c r="AK18" i="39"/>
  <c r="AI16" i="39"/>
  <c r="D18" i="39"/>
  <c r="D19" i="39"/>
  <c r="AK16" i="39"/>
  <c r="AJ16" i="38"/>
  <c r="AI16" i="38" s="1"/>
  <c r="AK7" i="38"/>
  <c r="AK11" i="38"/>
  <c r="AK15" i="38"/>
  <c r="AK6" i="38"/>
  <c r="AK9" i="38"/>
  <c r="AK13" i="38"/>
  <c r="AI5" i="38"/>
  <c r="AK5" i="38"/>
  <c r="AI7" i="38"/>
  <c r="AI9" i="38"/>
  <c r="AI11" i="38"/>
  <c r="AI13" i="38"/>
  <c r="AI15" i="38"/>
  <c r="AI6" i="38"/>
  <c r="AK8" i="38"/>
  <c r="AK10" i="38"/>
  <c r="AK12" i="38"/>
  <c r="AK14" i="38"/>
  <c r="AE16" i="37"/>
  <c r="X16" i="37"/>
  <c r="Q16" i="37"/>
  <c r="J16" i="37"/>
  <c r="D16" i="37"/>
  <c r="AJ15" i="37"/>
  <c r="AI15" i="37" s="1"/>
  <c r="AJ14" i="37"/>
  <c r="AI14" i="37" s="1"/>
  <c r="AJ13" i="37"/>
  <c r="AI13" i="37" s="1"/>
  <c r="AJ12" i="37"/>
  <c r="AJ11" i="37"/>
  <c r="AI11" i="37" s="1"/>
  <c r="AJ10" i="37"/>
  <c r="AI10" i="37" s="1"/>
  <c r="AJ9" i="37"/>
  <c r="AJ8" i="37"/>
  <c r="AJ7" i="37"/>
  <c r="AI7" i="37" s="1"/>
  <c r="AJ6" i="37"/>
  <c r="AI6" i="37" s="1"/>
  <c r="AJ5" i="37"/>
  <c r="AI5" i="37" s="1"/>
  <c r="AJ4" i="37"/>
  <c r="AJ3" i="37"/>
  <c r="AI3" i="37" l="1"/>
  <c r="D18" i="38"/>
  <c r="AK18" i="38"/>
  <c r="D19" i="38"/>
  <c r="AK16" i="38"/>
  <c r="AK14" i="37"/>
  <c r="AK6" i="37"/>
  <c r="AK12" i="37"/>
  <c r="AK7" i="37"/>
  <c r="AK11" i="37"/>
  <c r="AK15" i="37"/>
  <c r="AK8" i="37"/>
  <c r="AK10" i="37"/>
  <c r="AK9" i="37"/>
  <c r="AI8" i="37"/>
  <c r="AI12" i="37"/>
  <c r="AK5" i="37"/>
  <c r="AK13" i="37"/>
  <c r="AJ16" i="37"/>
  <c r="AI9" i="37"/>
  <c r="AA16" i="36"/>
  <c r="T16" i="36"/>
  <c r="M16" i="36"/>
  <c r="F16" i="36"/>
  <c r="D16" i="36"/>
  <c r="AD16" i="35"/>
  <c r="AJ15" i="36"/>
  <c r="AJ14" i="36"/>
  <c r="AI14" i="36" s="1"/>
  <c r="AJ13" i="36"/>
  <c r="AJ12" i="36"/>
  <c r="AI12" i="36" s="1"/>
  <c r="AJ11" i="36"/>
  <c r="AJ10" i="36"/>
  <c r="AI10" i="36" s="1"/>
  <c r="AJ9" i="36"/>
  <c r="AJ8" i="36"/>
  <c r="AI8" i="36" s="1"/>
  <c r="AJ7" i="36"/>
  <c r="AJ6" i="36"/>
  <c r="AI6" i="36" s="1"/>
  <c r="AJ5" i="36"/>
  <c r="AJ4" i="36"/>
  <c r="AJ3" i="36"/>
  <c r="AI3" i="36" l="1"/>
  <c r="AI16" i="37"/>
  <c r="D18" i="37"/>
  <c r="D19" i="37"/>
  <c r="AK18" i="37"/>
  <c r="AK16" i="37"/>
  <c r="AJ16" i="36"/>
  <c r="AI16" i="36" s="1"/>
  <c r="AK14" i="36"/>
  <c r="AK7" i="36"/>
  <c r="AK11" i="36"/>
  <c r="AK15" i="36"/>
  <c r="AK9" i="36"/>
  <c r="AK13" i="36"/>
  <c r="AK6" i="36"/>
  <c r="AK8" i="36"/>
  <c r="AK10" i="36"/>
  <c r="AK12" i="36"/>
  <c r="AI5" i="36"/>
  <c r="AK5" i="36"/>
  <c r="AI7" i="36"/>
  <c r="AI9" i="36"/>
  <c r="AI11" i="36"/>
  <c r="AI13" i="36"/>
  <c r="AI15" i="36"/>
  <c r="W16" i="35"/>
  <c r="P16" i="35"/>
  <c r="I16" i="35"/>
  <c r="D16" i="35"/>
  <c r="AF16" i="34"/>
  <c r="D18" i="36" l="1"/>
  <c r="AK16" i="36"/>
  <c r="AK18" i="36"/>
  <c r="D19" i="36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3" i="35" l="1"/>
  <c r="AJ16" i="35"/>
  <c r="AI16" i="35" s="1"/>
  <c r="AK6" i="35"/>
  <c r="AK8" i="35"/>
  <c r="AK10" i="35"/>
  <c r="AK12" i="35"/>
  <c r="AK14" i="35"/>
  <c r="AK7" i="35"/>
  <c r="AK9" i="35"/>
  <c r="AK11" i="35"/>
  <c r="AK13" i="35"/>
  <c r="AK15" i="35"/>
  <c r="AI6" i="35"/>
  <c r="AI8" i="35"/>
  <c r="AI10" i="35"/>
  <c r="AI12" i="35"/>
  <c r="AI14" i="35"/>
  <c r="AI5" i="35"/>
  <c r="AK5" i="35"/>
  <c r="AI7" i="35"/>
  <c r="AI9" i="35"/>
  <c r="AI11" i="35"/>
  <c r="AI13" i="35"/>
  <c r="AI15" i="35"/>
  <c r="Y16" i="34"/>
  <c r="R16" i="34"/>
  <c r="K16" i="34"/>
  <c r="D16" i="34"/>
  <c r="AJ15" i="34"/>
  <c r="AJ14" i="34"/>
  <c r="AI14" i="34" s="1"/>
  <c r="AJ13" i="34"/>
  <c r="AJ12" i="34"/>
  <c r="AI12" i="34" s="1"/>
  <c r="AJ11" i="34"/>
  <c r="AJ10" i="34"/>
  <c r="AI10" i="34" s="1"/>
  <c r="AJ9" i="34"/>
  <c r="AJ8" i="34"/>
  <c r="AI8" i="34" s="1"/>
  <c r="AJ7" i="34"/>
  <c r="AJ6" i="34"/>
  <c r="AI6" i="34" s="1"/>
  <c r="AJ5" i="34"/>
  <c r="AJ4" i="34"/>
  <c r="AJ3" i="34"/>
  <c r="AI3" i="34" l="1"/>
  <c r="D18" i="35"/>
  <c r="AK18" i="35"/>
  <c r="AK16" i="35"/>
  <c r="D19" i="35"/>
  <c r="AK14" i="34"/>
  <c r="AK7" i="34"/>
  <c r="AK11" i="34"/>
  <c r="AK5" i="34"/>
  <c r="AK9" i="34"/>
  <c r="AK13" i="34"/>
  <c r="AK15" i="34"/>
  <c r="AJ16" i="34"/>
  <c r="AI16" i="34" s="1"/>
  <c r="AK6" i="34"/>
  <c r="AK8" i="34"/>
  <c r="AK10" i="34"/>
  <c r="AK12" i="34"/>
  <c r="AI5" i="34"/>
  <c r="AI7" i="34"/>
  <c r="AI9" i="34"/>
  <c r="AI11" i="34"/>
  <c r="AI13" i="34"/>
  <c r="AI15" i="34"/>
  <c r="AB16" i="33"/>
  <c r="U16" i="33"/>
  <c r="N16" i="33"/>
  <c r="G16" i="33"/>
  <c r="D16" i="33"/>
  <c r="AJ15" i="33"/>
  <c r="AJ14" i="33"/>
  <c r="AI14" i="33" s="1"/>
  <c r="AJ13" i="33"/>
  <c r="AJ12" i="33"/>
  <c r="AI12" i="33" s="1"/>
  <c r="AJ11" i="33"/>
  <c r="AJ10" i="33"/>
  <c r="AI10" i="33" s="1"/>
  <c r="AJ9" i="33"/>
  <c r="AJ8" i="33"/>
  <c r="AI8" i="33" s="1"/>
  <c r="AJ7" i="33"/>
  <c r="AJ6" i="33"/>
  <c r="AI6" i="33" s="1"/>
  <c r="AJ5" i="33"/>
  <c r="AJ4" i="33"/>
  <c r="AJ3" i="33"/>
  <c r="AI3" i="33" l="1"/>
  <c r="AK16" i="34"/>
  <c r="D18" i="34"/>
  <c r="AK18" i="34"/>
  <c r="D19" i="34"/>
  <c r="AK8" i="33"/>
  <c r="AK7" i="33"/>
  <c r="AK11" i="33"/>
  <c r="AK15" i="33"/>
  <c r="AJ16" i="33"/>
  <c r="AI16" i="33" s="1"/>
  <c r="AK9" i="33"/>
  <c r="AK13" i="33"/>
  <c r="AK6" i="33"/>
  <c r="AK10" i="33"/>
  <c r="AK12" i="33"/>
  <c r="AK14" i="33"/>
  <c r="AI5" i="33"/>
  <c r="AK5" i="33"/>
  <c r="AI7" i="33"/>
  <c r="AI9" i="33"/>
  <c r="AI11" i="33"/>
  <c r="AI13" i="33"/>
  <c r="AI15" i="33"/>
  <c r="AD16" i="32"/>
  <c r="W16" i="32"/>
  <c r="P16" i="32"/>
  <c r="I16" i="32"/>
  <c r="D16" i="32"/>
  <c r="AJ15" i="32"/>
  <c r="AJ14" i="32"/>
  <c r="AI14" i="32" s="1"/>
  <c r="AJ13" i="32"/>
  <c r="AJ12" i="32"/>
  <c r="AI12" i="32" s="1"/>
  <c r="AJ11" i="32"/>
  <c r="AJ10" i="32"/>
  <c r="AI10" i="32" s="1"/>
  <c r="AJ9" i="32"/>
  <c r="AJ8" i="32"/>
  <c r="AI8" i="32" s="1"/>
  <c r="AJ7" i="32"/>
  <c r="AJ6" i="32"/>
  <c r="AI6" i="32" s="1"/>
  <c r="AJ5" i="32"/>
  <c r="AJ4" i="32"/>
  <c r="AJ3" i="32"/>
  <c r="AI3" i="32" l="1"/>
  <c r="AK18" i="33"/>
  <c r="D18" i="33"/>
  <c r="D19" i="33"/>
  <c r="AK16" i="33"/>
  <c r="AJ16" i="32"/>
  <c r="AI16" i="32" s="1"/>
  <c r="AK9" i="32"/>
  <c r="AK7" i="32"/>
  <c r="AK11" i="32"/>
  <c r="AK15" i="32"/>
  <c r="AK13" i="32"/>
  <c r="AI5" i="32"/>
  <c r="AK5" i="32"/>
  <c r="AI7" i="32"/>
  <c r="AI9" i="32"/>
  <c r="AI11" i="32"/>
  <c r="AI13" i="32"/>
  <c r="AI15" i="32"/>
  <c r="AK6" i="32"/>
  <c r="AK8" i="32"/>
  <c r="AK10" i="32"/>
  <c r="AK12" i="32"/>
  <c r="AK14" i="32"/>
  <c r="AG16" i="31"/>
  <c r="D18" i="32" l="1"/>
  <c r="AK18" i="32"/>
  <c r="D19" i="32"/>
  <c r="AK16" i="32"/>
  <c r="AJ3" i="30"/>
  <c r="E16" i="31" l="1"/>
  <c r="L16" i="31"/>
  <c r="S16" i="31"/>
  <c r="Z16" i="31"/>
  <c r="AJ15" i="31"/>
  <c r="AI15" i="31" s="1"/>
  <c r="AJ14" i="31"/>
  <c r="AJ13" i="31"/>
  <c r="AI13" i="31" s="1"/>
  <c r="AJ12" i="31"/>
  <c r="AJ11" i="31"/>
  <c r="AI11" i="31" s="1"/>
  <c r="AJ10" i="31"/>
  <c r="AJ9" i="31"/>
  <c r="AI9" i="31" s="1"/>
  <c r="AJ8" i="31"/>
  <c r="AJ7" i="31"/>
  <c r="AI7" i="31" s="1"/>
  <c r="AJ6" i="31"/>
  <c r="AJ5" i="31"/>
  <c r="AI5" i="31" s="1"/>
  <c r="AJ4" i="31"/>
  <c r="AJ3" i="31"/>
  <c r="AI3" i="31" l="1"/>
  <c r="AK6" i="31"/>
  <c r="AJ16" i="31"/>
  <c r="AI16" i="31" s="1"/>
  <c r="AK8" i="31"/>
  <c r="AK12" i="31"/>
  <c r="AK10" i="31"/>
  <c r="AK14" i="31"/>
  <c r="AK7" i="31"/>
  <c r="AI6" i="31"/>
  <c r="AI8" i="31"/>
  <c r="AI10" i="31"/>
  <c r="AI12" i="31"/>
  <c r="AI14" i="31"/>
  <c r="AK5" i="31"/>
  <c r="AK9" i="31"/>
  <c r="AK11" i="31"/>
  <c r="AK13" i="31"/>
  <c r="AK15" i="31"/>
  <c r="E16" i="30"/>
  <c r="D18" i="31" l="1"/>
  <c r="AK18" i="31"/>
  <c r="D19" i="31"/>
  <c r="AK16" i="31"/>
  <c r="Z16" i="30"/>
  <c r="S16" i="30"/>
  <c r="L16" i="30"/>
  <c r="AJ15" i="30" l="1"/>
  <c r="AJ14" i="30"/>
  <c r="AI14" i="30" s="1"/>
  <c r="AJ13" i="30"/>
  <c r="AJ12" i="30"/>
  <c r="AI12" i="30" s="1"/>
  <c r="AJ11" i="30"/>
  <c r="AJ10" i="30"/>
  <c r="AI10" i="30" s="1"/>
  <c r="AJ9" i="30"/>
  <c r="AJ8" i="30"/>
  <c r="AI8" i="30" s="1"/>
  <c r="AJ7" i="30"/>
  <c r="AJ6" i="30"/>
  <c r="AI6" i="30" s="1"/>
  <c r="AJ5" i="30"/>
  <c r="AJ4" i="30"/>
  <c r="AI3" i="30" s="1"/>
  <c r="AJ16" i="30" l="1"/>
  <c r="AI16" i="30" s="1"/>
  <c r="AK9" i="30"/>
  <c r="AK12" i="30"/>
  <c r="AK7" i="30"/>
  <c r="AK11" i="30"/>
  <c r="AK15" i="30"/>
  <c r="AK13" i="30"/>
  <c r="AK6" i="30"/>
  <c r="AK10" i="30"/>
  <c r="AK14" i="30"/>
  <c r="AI5" i="30"/>
  <c r="AK5" i="30"/>
  <c r="AI7" i="30"/>
  <c r="AI9" i="30"/>
  <c r="AI11" i="30"/>
  <c r="AI13" i="30"/>
  <c r="AI15" i="30"/>
  <c r="AK8" i="30"/>
  <c r="V16" i="28"/>
  <c r="AK16" i="30" l="1"/>
  <c r="D18" i="30"/>
  <c r="D19" i="30"/>
  <c r="AK18" i="30"/>
  <c r="AC16" i="28" l="1"/>
  <c r="O16" i="28"/>
  <c r="H16" i="28"/>
  <c r="D16" i="28"/>
  <c r="AJ15" i="28" l="1"/>
  <c r="AI15" i="28" s="1"/>
  <c r="AJ14" i="28"/>
  <c r="AI14" i="28" s="1"/>
  <c r="AJ13" i="28"/>
  <c r="AI13" i="28" s="1"/>
  <c r="AJ12" i="28"/>
  <c r="AI12" i="28" s="1"/>
  <c r="AJ11" i="28"/>
  <c r="AI11" i="28" s="1"/>
  <c r="AJ10" i="28"/>
  <c r="AI10" i="28" s="1"/>
  <c r="AJ9" i="28"/>
  <c r="AI9" i="28" s="1"/>
  <c r="AJ8" i="28"/>
  <c r="AI8" i="28" s="1"/>
  <c r="AJ7" i="28"/>
  <c r="AI7" i="28" s="1"/>
  <c r="AJ6" i="28"/>
  <c r="AI6" i="28" s="1"/>
  <c r="AJ4" i="28"/>
  <c r="AJ3" i="28"/>
  <c r="AI3" i="28" l="1"/>
  <c r="AK6" i="28"/>
  <c r="AK9" i="28"/>
  <c r="AK14" i="28"/>
  <c r="AK10" i="28"/>
  <c r="AK12" i="28"/>
  <c r="AK13" i="28"/>
  <c r="AK8" i="28"/>
  <c r="AK7" i="28"/>
  <c r="AK11" i="28"/>
  <c r="AK15" i="28"/>
  <c r="AJ5" i="28" l="1"/>
  <c r="AJ16" i="28" l="1"/>
  <c r="AI16" i="28" s="1"/>
  <c r="AI5" i="28"/>
  <c r="AK5" i="28"/>
  <c r="AK16" i="28" s="1"/>
  <c r="AK18" i="28" l="1"/>
  <c r="D18" i="28"/>
  <c r="D19" i="28"/>
</calcChain>
</file>

<file path=xl/sharedStrings.xml><?xml version="1.0" encoding="utf-8"?>
<sst xmlns="http://schemas.openxmlformats.org/spreadsheetml/2006/main" count="668" uniqueCount="31">
  <si>
    <t>Доходы</t>
  </si>
  <si>
    <t>Зарплата</t>
  </si>
  <si>
    <t>Расходы</t>
  </si>
  <si>
    <t>Потребности</t>
  </si>
  <si>
    <t>Развлечения</t>
  </si>
  <si>
    <t>Квартира</t>
  </si>
  <si>
    <t>Проезд</t>
  </si>
  <si>
    <t>Долги</t>
  </si>
  <si>
    <t>Другое</t>
  </si>
  <si>
    <t>Алкоголь</t>
  </si>
  <si>
    <t>Всего</t>
  </si>
  <si>
    <t>вс</t>
  </si>
  <si>
    <t>сб</t>
  </si>
  <si>
    <t>пт</t>
  </si>
  <si>
    <t>чт</t>
  </si>
  <si>
    <t>ср</t>
  </si>
  <si>
    <t>вт</t>
  </si>
  <si>
    <t>пн</t>
  </si>
  <si>
    <t>Всего за месяц</t>
  </si>
  <si>
    <t>%</t>
  </si>
  <si>
    <t>Прибыль</t>
  </si>
  <si>
    <t>Здоровье</t>
  </si>
  <si>
    <t>Хоз.Товары</t>
  </si>
  <si>
    <t>В среднем</t>
  </si>
  <si>
    <t>Питание</t>
  </si>
  <si>
    <t>Другие доходы</t>
  </si>
  <si>
    <t>Баланс на нач. мес.</t>
  </si>
  <si>
    <t>Баланс на кон. мес.</t>
  </si>
  <si>
    <t>Мероприятия</t>
  </si>
  <si>
    <t xml:space="preserve"> </t>
  </si>
  <si>
    <t>Закуски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</si>
</sst>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/>
      <right style="thin">
        <color indexed="64"/>
      </right>
      <top/>
      <bottom style="thin">
        <color indexed="64"/>
      </bottom>
      <diagonal style="thin">
        <color auto="1"/>
      </diagonal>
    </border>
    <border diagonalUp="1">
      <left/>
      <right style="thin">
        <color indexed="64"/>
      </right>
      <top/>
      <bottom/>
      <diagonal style="thin">
        <color auto="1"/>
      </diagonal>
    </border>
    <border diagonalUp="1">
      <left/>
      <right/>
      <top/>
      <bottom style="thin">
        <color indexed="64"/>
      </bottom>
      <diagonal style="thin">
        <color auto="1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/>
    <xf numFmtId="0" fontId="1" fillId="3" borderId="3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2" fillId="4" borderId="1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5" borderId="12" xfId="0" applyNumberFormat="1" applyFont="1" applyFill="1" applyBorder="1" applyAlignment="1">
      <alignment horizontal="center" vertical="center"/>
    </xf>
    <xf numFmtId="0" fontId="1" fillId="8" borderId="12" xfId="0" applyFont="1" applyFill="1" applyBorder="1"/>
    <xf numFmtId="0" fontId="1" fillId="8" borderId="1" xfId="0" applyFont="1" applyFill="1" applyBorder="1"/>
    <xf numFmtId="0" fontId="1" fillId="8" borderId="14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2" fontId="2" fillId="5" borderId="12" xfId="0" applyNumberFormat="1" applyFont="1" applyFill="1" applyBorder="1" applyAlignment="1">
      <alignment horizontal="center" vertical="center"/>
    </xf>
    <xf numFmtId="0" fontId="2" fillId="6" borderId="1" xfId="0" applyFont="1" applyFill="1" applyBorder="1"/>
    <xf numFmtId="0" fontId="1" fillId="8" borderId="1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5" fillId="2" borderId="4" xfId="0" applyFont="1" applyFill="1" applyBorder="1"/>
    <xf numFmtId="0" fontId="5" fillId="3" borderId="3" xfId="0" applyFont="1" applyFill="1" applyBorder="1"/>
    <xf numFmtId="0" fontId="5" fillId="3" borderId="1" xfId="0" applyFont="1" applyFill="1" applyBorder="1"/>
    <xf numFmtId="0" fontId="5" fillId="3" borderId="4" xfId="0" applyFont="1" applyFill="1" applyBorder="1"/>
    <xf numFmtId="0" fontId="5" fillId="4" borderId="1" xfId="0" applyFont="1" applyFill="1" applyBorder="1"/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2" fillId="5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 textRotation="90"/>
    </xf>
    <xf numFmtId="0" fontId="4" fillId="7" borderId="3" xfId="0" applyFont="1" applyFill="1" applyBorder="1" applyAlignment="1">
      <alignment horizontal="center" vertical="center" textRotation="90"/>
    </xf>
    <xf numFmtId="0" fontId="4" fillId="7" borderId="4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5" fillId="4" borderId="2" xfId="0" applyFont="1" applyFill="1" applyBorder="1" applyAlignment="1">
      <alignment horizontal="center" textRotation="90"/>
    </xf>
    <xf numFmtId="0" fontId="5" fillId="4" borderId="3" xfId="0" applyFont="1" applyFill="1" applyBorder="1" applyAlignment="1">
      <alignment horizontal="center" textRotation="90"/>
    </xf>
    <xf numFmtId="0" fontId="5" fillId="4" borderId="4" xfId="0" applyFont="1" applyFill="1" applyBorder="1" applyAlignment="1">
      <alignment horizontal="center" textRotation="90"/>
    </xf>
    <xf numFmtId="0" fontId="3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right"/>
    </xf>
    <xf numFmtId="0" fontId="2" fillId="6" borderId="14" xfId="0" applyFont="1" applyFill="1" applyBorder="1" applyAlignment="1">
      <alignment horizontal="right"/>
    </xf>
    <xf numFmtId="0" fontId="2" fillId="6" borderId="12" xfId="0" applyFont="1" applyFill="1" applyBorder="1" applyAlignment="1">
      <alignment horizontal="right"/>
    </xf>
    <xf numFmtId="0" fontId="2" fillId="6" borderId="14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right" vertical="center"/>
    </xf>
    <xf numFmtId="0" fontId="2" fillId="6" borderId="18" xfId="0" applyFont="1" applyFill="1" applyBorder="1" applyAlignment="1">
      <alignment horizontal="right" vertical="center"/>
    </xf>
    <xf numFmtId="0" fontId="2" fillId="6" borderId="14" xfId="0" applyFont="1" applyFill="1" applyBorder="1" applyAlignment="1">
      <alignment horizontal="right" vertical="center"/>
    </xf>
    <xf numFmtId="0" fontId="2" fillId="6" borderId="12" xfId="0" applyFont="1" applyFill="1" applyBorder="1" applyAlignment="1">
      <alignment horizontal="right" vertical="center"/>
    </xf>
    <xf numFmtId="0" fontId="2" fillId="6" borderId="1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"/>
  <sheetViews>
    <sheetView tabSelected="1"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14</v>
      </c>
      <c r="E1" s="36" t="s">
        <v>13</v>
      </c>
      <c r="F1" s="36" t="s">
        <v>12</v>
      </c>
      <c r="G1" s="37" t="s">
        <v>11</v>
      </c>
      <c r="H1" s="55" t="s">
        <v>17</v>
      </c>
      <c r="I1" s="36" t="s">
        <v>16</v>
      </c>
      <c r="J1" s="37" t="s">
        <v>15</v>
      </c>
      <c r="K1" s="36" t="s">
        <v>14</v>
      </c>
      <c r="L1" s="36" t="s">
        <v>13</v>
      </c>
      <c r="M1" s="36" t="s">
        <v>12</v>
      </c>
      <c r="N1" s="37" t="s">
        <v>11</v>
      </c>
      <c r="O1" s="55" t="s">
        <v>17</v>
      </c>
      <c r="P1" s="36" t="s">
        <v>16</v>
      </c>
      <c r="Q1" s="37" t="s">
        <v>15</v>
      </c>
      <c r="R1" s="36" t="s">
        <v>14</v>
      </c>
      <c r="S1" s="36" t="s">
        <v>13</v>
      </c>
      <c r="T1" s="36" t="s">
        <v>12</v>
      </c>
      <c r="U1" s="37" t="s">
        <v>11</v>
      </c>
      <c r="V1" s="55" t="s">
        <v>17</v>
      </c>
      <c r="W1" s="36" t="s">
        <v>16</v>
      </c>
      <c r="X1" s="37" t="s">
        <v>15</v>
      </c>
      <c r="Y1" s="36" t="s">
        <v>14</v>
      </c>
      <c r="Z1" s="36" t="s">
        <v>13</v>
      </c>
      <c r="AA1" s="36" t="s">
        <v>12</v>
      </c>
      <c r="AB1" s="37" t="s">
        <v>11</v>
      </c>
      <c r="AC1" s="55" t="s">
        <v>17</v>
      </c>
      <c r="AD1" s="36" t="s">
        <v>16</v>
      </c>
      <c r="AE1" s="37" t="s">
        <v>15</v>
      </c>
      <c r="AF1" s="36" t="s">
        <v>14</v>
      </c>
      <c r="AG1" s="36" t="s">
        <v>13</v>
      </c>
      <c r="AH1" s="36" t="s">
        <v>12</v>
      </c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/>
      <c r="K3" s="15"/>
      <c r="L3" s="15">
        <v>637</v>
      </c>
      <c r="M3" s="15"/>
      <c r="N3" s="15"/>
      <c r="O3" s="15"/>
      <c r="P3" s="15"/>
      <c r="Q3" s="15"/>
      <c r="R3" s="15"/>
      <c r="S3" s="15"/>
      <c r="T3" s="15"/>
      <c r="U3" s="15"/>
      <c r="V3" s="15">
        <v>588</v>
      </c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4">
        <f>(AJ3+AJ4)/31</f>
        <v>43.70967741935484</v>
      </c>
      <c r="AJ3" s="48">
        <f>SUM(D3:AH3)</f>
        <v>1225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>
        <v>5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0">
        <v>120</v>
      </c>
      <c r="AD4" s="18"/>
      <c r="AE4" s="19"/>
      <c r="AF4" s="18">
        <v>5</v>
      </c>
      <c r="AG4" s="19"/>
      <c r="AH4" s="18"/>
      <c r="AI4" s="105"/>
      <c r="AJ4" s="48">
        <f>SUM(D4:AH4)</f>
        <v>130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/>
      <c r="E5" s="2"/>
      <c r="F5" s="2"/>
      <c r="G5" s="2"/>
      <c r="H5" s="2"/>
      <c r="I5" s="2"/>
      <c r="J5" s="22"/>
      <c r="K5" s="2"/>
      <c r="L5" s="2"/>
      <c r="M5" s="2"/>
      <c r="N5" s="2"/>
      <c r="O5" s="2"/>
      <c r="P5" s="2"/>
      <c r="Q5" s="2">
        <v>7</v>
      </c>
      <c r="R5" s="2"/>
      <c r="S5" s="2"/>
      <c r="T5" s="2"/>
      <c r="U5" s="2">
        <v>5</v>
      </c>
      <c r="V5" s="2"/>
      <c r="W5" s="2">
        <v>40</v>
      </c>
      <c r="X5" s="2">
        <v>21</v>
      </c>
      <c r="Y5" s="2">
        <v>18</v>
      </c>
      <c r="Z5" s="2"/>
      <c r="AA5" s="2">
        <v>24</v>
      </c>
      <c r="AB5" s="2"/>
      <c r="AC5" s="21"/>
      <c r="AD5" s="2"/>
      <c r="AE5" s="23"/>
      <c r="AF5" s="2">
        <v>32</v>
      </c>
      <c r="AG5" s="23">
        <v>6</v>
      </c>
      <c r="AH5" s="2"/>
      <c r="AI5" s="43">
        <f t="shared" ref="AI5:AI16" si="0">AJ5/31</f>
        <v>4.935483870967742</v>
      </c>
      <c r="AJ5" s="32">
        <f>SUM(D5,E5,F5,G5,H5,I5,J5,K5,L5,M5,N5,O5,P5,Q5,R5,S5,T5,U5,V5,W5,X5,Y5,Z5,AA5,AB5,AC5,AD5,AE5,AF5,AG5,AH5)</f>
        <v>153</v>
      </c>
      <c r="AK5" s="3">
        <f>(AJ5/(AJ3+AJ4))*100</f>
        <v>11.29151291512915</v>
      </c>
    </row>
    <row r="6" spans="1:37" ht="18.95" customHeight="1" x14ac:dyDescent="0.3">
      <c r="A6" s="88"/>
      <c r="B6" s="90"/>
      <c r="C6" s="60" t="s">
        <v>6</v>
      </c>
      <c r="D6" s="4"/>
      <c r="E6" s="4">
        <v>39</v>
      </c>
      <c r="F6" s="4">
        <v>33</v>
      </c>
      <c r="G6" s="4"/>
      <c r="H6" s="4"/>
      <c r="I6" s="4"/>
      <c r="J6" s="24"/>
      <c r="K6" s="4"/>
      <c r="L6" s="4"/>
      <c r="M6" s="4"/>
      <c r="N6" s="4"/>
      <c r="O6" s="4"/>
      <c r="P6" s="4"/>
      <c r="Q6" s="4"/>
      <c r="R6" s="4"/>
      <c r="S6" s="4"/>
      <c r="T6" s="4"/>
      <c r="U6" s="4">
        <v>36</v>
      </c>
      <c r="V6" s="4">
        <v>10</v>
      </c>
      <c r="W6" s="4">
        <v>7</v>
      </c>
      <c r="X6" s="4">
        <v>4</v>
      </c>
      <c r="Y6" s="4">
        <v>27</v>
      </c>
      <c r="Z6" s="4">
        <v>37</v>
      </c>
      <c r="AA6" s="4"/>
      <c r="AB6" s="4"/>
      <c r="AC6" s="25">
        <v>34</v>
      </c>
      <c r="AD6" s="4">
        <v>26</v>
      </c>
      <c r="AE6" s="24"/>
      <c r="AF6" s="4">
        <v>13</v>
      </c>
      <c r="AG6" s="24"/>
      <c r="AH6" s="4">
        <v>36</v>
      </c>
      <c r="AI6" s="44">
        <f t="shared" si="0"/>
        <v>9.741935483870968</v>
      </c>
      <c r="AJ6" s="33">
        <f>SUM(D6,E6,F6,G6,H6,I6,J6,K6,L6,M6,N6,O6,P6,Q6,R6,S6,T6,U6,V6,W6,X6,Y6,Z6,AA6,AB6,AC6,AD6,AE6,AF6,AG6,AH6)</f>
        <v>302</v>
      </c>
      <c r="AK6" s="5">
        <f>(AJ6/(AJ3+AJ4))*100</f>
        <v>22.287822878228784</v>
      </c>
    </row>
    <row r="7" spans="1:37" ht="18.95" customHeight="1" x14ac:dyDescent="0.3">
      <c r="A7" s="88"/>
      <c r="B7" s="90"/>
      <c r="C7" s="60" t="s">
        <v>21</v>
      </c>
      <c r="D7" s="25"/>
      <c r="E7" s="4">
        <v>10</v>
      </c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0.32258064516129031</v>
      </c>
      <c r="AJ7" s="33">
        <f>SUM(D7,E7,F7,G7,H7,I7,J7,K7,L7,M7,N7,O7,P7,Q7,R7,S7,T7,U7,V7,W7,X7,Y7,Z7,AA7,AB7,AC7,AD7,AE7,AF7,AG7,AH7)</f>
        <v>10</v>
      </c>
      <c r="AK7" s="5">
        <f>(AJ7/(AJ3+AJ4))*100</f>
        <v>0.73800738007380073</v>
      </c>
    </row>
    <row r="8" spans="1:37" ht="18.95" customHeight="1" x14ac:dyDescent="0.3">
      <c r="A8" s="88"/>
      <c r="B8" s="90"/>
      <c r="C8" s="61" t="s">
        <v>22</v>
      </c>
      <c r="D8" s="38"/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/>
      <c r="AF8" s="39">
        <v>6</v>
      </c>
      <c r="AG8" s="40"/>
      <c r="AH8" s="39"/>
      <c r="AI8" s="47">
        <f t="shared" si="0"/>
        <v>0.19354838709677419</v>
      </c>
      <c r="AJ8" s="41">
        <f>SUM(D8,E8,F8,G8,H8,I8,J8,K8,L8,M8,N8,O8,P8,Q8,R8,S8,T8,U8,V8,W8,X8,Y8,Z8,AA8,AB8,AC8,AD8,AE8,AF8,AG8,AH8)</f>
        <v>6</v>
      </c>
      <c r="AK8" s="42">
        <f>(AJ8/(AJ3+AJ4))*100</f>
        <v>0.44280442804428044</v>
      </c>
    </row>
    <row r="9" spans="1:37" ht="18.95" customHeight="1" x14ac:dyDescent="0.3">
      <c r="A9" s="88"/>
      <c r="B9" s="90"/>
      <c r="C9" s="59" t="s">
        <v>5</v>
      </c>
      <c r="D9" s="21"/>
      <c r="E9" s="2">
        <v>100</v>
      </c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>
        <v>371</v>
      </c>
      <c r="AA9" s="2"/>
      <c r="AB9" s="2"/>
      <c r="AC9" s="21"/>
      <c r="AD9" s="2"/>
      <c r="AE9" s="23"/>
      <c r="AF9" s="2"/>
      <c r="AG9" s="23"/>
      <c r="AH9" s="2"/>
      <c r="AI9" s="43">
        <f t="shared" si="0"/>
        <v>15.193548387096774</v>
      </c>
      <c r="AJ9" s="32">
        <f>SUM(D9,E9,F9,G9,H9,I9,J9,K9,L9,M9,N9,O9,P9,Q9,R9,S9,T9,U9,V9,W9,X9,Y9,Z9,AA9,AB9,AC9,AD9,AE9,AF9,AG9,AH9)</f>
        <v>471</v>
      </c>
      <c r="AK9" s="3">
        <f>(AJ9/(AJ3+AJ4))*100</f>
        <v>34.760147601476014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8</v>
      </c>
      <c r="D11" s="21"/>
      <c r="E11" s="2"/>
      <c r="F11" s="2"/>
      <c r="G11" s="2"/>
      <c r="H11" s="2"/>
      <c r="I11" s="2"/>
      <c r="J11" s="22"/>
      <c r="K11" s="2"/>
      <c r="L11" s="2"/>
      <c r="M11" s="2"/>
      <c r="N11" s="2"/>
      <c r="O11" s="2"/>
      <c r="P11" s="2"/>
      <c r="Q11" s="2">
        <v>70</v>
      </c>
      <c r="R11" s="2"/>
      <c r="S11" s="2"/>
      <c r="T11" s="2"/>
      <c r="U11" s="2"/>
      <c r="V11" s="2">
        <v>20</v>
      </c>
      <c r="W11" s="2"/>
      <c r="X11" s="2"/>
      <c r="Y11" s="2"/>
      <c r="Z11" s="2">
        <v>8</v>
      </c>
      <c r="AA11" s="2"/>
      <c r="AB11" s="2"/>
      <c r="AC11" s="21"/>
      <c r="AD11" s="2"/>
      <c r="AE11" s="23"/>
      <c r="AF11" s="2">
        <v>82</v>
      </c>
      <c r="AG11" s="23"/>
      <c r="AH11" s="2"/>
      <c r="AI11" s="43">
        <f t="shared" si="0"/>
        <v>5.806451612903226</v>
      </c>
      <c r="AJ11" s="32">
        <f>SUM(D11,E11,F11,G11,H11,I11,J11,K11,L11,M11,N11,O11,P11,Q11,R11,S11,T11,U11,V11,W11,X11,Y11,Z11,AA11,AB11,AC11,AD11,AE11,AF11,AG11,AH11)</f>
        <v>180</v>
      </c>
      <c r="AK11" s="3">
        <f>(AJ11/(AJ3+AJ4))*100</f>
        <v>13.284132841328415</v>
      </c>
    </row>
    <row r="12" spans="1:37" ht="18.95" customHeight="1" x14ac:dyDescent="0.3">
      <c r="A12" s="88"/>
      <c r="B12" s="91" t="s">
        <v>4</v>
      </c>
      <c r="C12" s="62" t="s">
        <v>9</v>
      </c>
      <c r="D12" s="6"/>
      <c r="E12" s="6"/>
      <c r="F12" s="6"/>
      <c r="G12" s="6"/>
      <c r="H12" s="6"/>
      <c r="I12" s="6"/>
      <c r="J12" s="26"/>
      <c r="K12" s="6">
        <v>16</v>
      </c>
      <c r="L12" s="6"/>
      <c r="M12" s="6"/>
      <c r="N12" s="6"/>
      <c r="O12" s="6"/>
      <c r="P12" s="6"/>
      <c r="Q12" s="6">
        <v>18</v>
      </c>
      <c r="R12" s="6"/>
      <c r="S12" s="6">
        <v>20</v>
      </c>
      <c r="T12" s="6"/>
      <c r="U12" s="6">
        <v>22</v>
      </c>
      <c r="V12" s="6">
        <v>20</v>
      </c>
      <c r="W12" s="6">
        <v>35</v>
      </c>
      <c r="X12" s="6"/>
      <c r="Y12" s="6"/>
      <c r="Z12" s="6">
        <v>24</v>
      </c>
      <c r="AA12" s="6">
        <v>20</v>
      </c>
      <c r="AB12" s="6">
        <v>13</v>
      </c>
      <c r="AC12" s="27"/>
      <c r="AD12" s="6"/>
      <c r="AE12" s="26"/>
      <c r="AF12" s="6"/>
      <c r="AG12" s="26"/>
      <c r="AH12" s="6"/>
      <c r="AI12" s="45">
        <f t="shared" si="0"/>
        <v>6.064516129032258</v>
      </c>
      <c r="AJ12" s="34">
        <f>SUM(D12,E12,F12,G12,H12,I12,J12,K12,L12,M12,N12,O12,P12,Q12,R12,S12,T12,U12,V12,W12,X12,Y12,Z12,AA12,AB12,AC12,AD12,AE12,AF12,AG12,AH12)</f>
        <v>188</v>
      </c>
      <c r="AK12" s="7">
        <f>(AJ12/(AJ3+AJ4))*100</f>
        <v>13.874538745387454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</v>
      </c>
      <c r="AJ13" s="35">
        <f t="shared" si="1"/>
        <v>0</v>
      </c>
      <c r="AK13" s="9">
        <f>(AJ13/(AJ3+AJ4))*100</f>
        <v>0</v>
      </c>
    </row>
    <row r="14" spans="1:37" ht="18.95" customHeight="1" x14ac:dyDescent="0.3">
      <c r="A14" s="88"/>
      <c r="B14" s="92"/>
      <c r="C14" s="56" t="s">
        <v>28</v>
      </c>
      <c r="D14" s="6"/>
      <c r="E14" s="6">
        <v>75</v>
      </c>
      <c r="F14" s="6"/>
      <c r="G14" s="6"/>
      <c r="H14" s="6"/>
      <c r="I14" s="6">
        <v>65</v>
      </c>
      <c r="J14" s="26"/>
      <c r="K14" s="6"/>
      <c r="L14" s="6"/>
      <c r="M14" s="6"/>
      <c r="N14" s="6"/>
      <c r="O14" s="6"/>
      <c r="P14" s="6"/>
      <c r="Q14" s="6"/>
      <c r="R14" s="6">
        <v>35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5.645161290322581</v>
      </c>
      <c r="AJ14" s="34">
        <f t="shared" si="1"/>
        <v>175</v>
      </c>
      <c r="AK14" s="7">
        <f>(AJ14/(AJ3+AJ4))*100</f>
        <v>12.915129151291513</v>
      </c>
    </row>
    <row r="15" spans="1:37" ht="18.95" customHeight="1" x14ac:dyDescent="0.3">
      <c r="A15" s="88"/>
      <c r="B15" s="93"/>
      <c r="C15" s="62" t="s">
        <v>4</v>
      </c>
      <c r="D15" s="51"/>
      <c r="E15" s="51"/>
      <c r="F15" s="51"/>
      <c r="G15" s="51"/>
      <c r="H15" s="51"/>
      <c r="I15" s="51"/>
      <c r="J15" s="50"/>
      <c r="K15" s="51"/>
      <c r="L15" s="51"/>
      <c r="M15" s="51"/>
      <c r="N15" s="51"/>
      <c r="O15" s="51"/>
      <c r="P15" s="51"/>
      <c r="Q15" s="51">
        <v>40</v>
      </c>
      <c r="R15" s="51">
        <v>20</v>
      </c>
      <c r="S15" s="51"/>
      <c r="T15" s="51"/>
      <c r="U15" s="51"/>
      <c r="V15" s="51"/>
      <c r="W15" s="51"/>
      <c r="X15" s="51"/>
      <c r="Y15" s="51"/>
      <c r="Z15" s="51"/>
      <c r="AA15" s="51">
        <v>183</v>
      </c>
      <c r="AB15" s="51"/>
      <c r="AC15" s="52"/>
      <c r="AD15" s="51"/>
      <c r="AE15" s="50"/>
      <c r="AF15" s="51"/>
      <c r="AG15" s="50"/>
      <c r="AH15" s="51">
        <v>45</v>
      </c>
      <c r="AI15" s="45">
        <f t="shared" si="0"/>
        <v>9.2903225806451619</v>
      </c>
      <c r="AJ15" s="34">
        <f>SUM(D15,E15,F15,G15,H15,I15,J15,K15,L15,M15,N15,O15,P15,Q15,R15,S15,T15,U15,V15,W15,X15,Y15,Z15,AA15,AB15,AC15,AD15,AE15,AF15,AG15,AH15)</f>
        <v>288</v>
      </c>
      <c r="AK15" s="7">
        <f>(AJ15/(AJ3+AJ4))*100</f>
        <v>21.254612546125461</v>
      </c>
    </row>
    <row r="16" spans="1:37" ht="18.399999999999999" customHeight="1" x14ac:dyDescent="0.3">
      <c r="A16" s="89"/>
      <c r="B16" s="80" t="s">
        <v>10</v>
      </c>
      <c r="C16" s="81"/>
      <c r="D16" s="80">
        <f>SUM(D5:G15)</f>
        <v>257</v>
      </c>
      <c r="E16" s="81"/>
      <c r="F16" s="81"/>
      <c r="G16" s="82"/>
      <c r="H16" s="80">
        <f>SUM(H5:N15)</f>
        <v>81</v>
      </c>
      <c r="I16" s="81"/>
      <c r="J16" s="81"/>
      <c r="K16" s="81"/>
      <c r="L16" s="81"/>
      <c r="M16" s="81"/>
      <c r="N16" s="82"/>
      <c r="O16" s="80">
        <f>SUM(O5:U15)</f>
        <v>273</v>
      </c>
      <c r="P16" s="81"/>
      <c r="Q16" s="81"/>
      <c r="R16" s="81"/>
      <c r="S16" s="81"/>
      <c r="T16" s="81"/>
      <c r="U16" s="82"/>
      <c r="V16" s="80">
        <f>SUM(V5:AB15)</f>
        <v>882</v>
      </c>
      <c r="W16" s="81"/>
      <c r="X16" s="81"/>
      <c r="Y16" s="81"/>
      <c r="Z16" s="81"/>
      <c r="AA16" s="81"/>
      <c r="AB16" s="82"/>
      <c r="AC16" s="80">
        <f>SUM(AC5:AH15)</f>
        <v>280</v>
      </c>
      <c r="AD16" s="81"/>
      <c r="AE16" s="81"/>
      <c r="AF16" s="81"/>
      <c r="AG16" s="81"/>
      <c r="AH16" s="82"/>
      <c r="AI16" s="53">
        <f t="shared" si="0"/>
        <v>57.193548387096776</v>
      </c>
      <c r="AJ16" s="49">
        <f>SUM(AJ5,AJ6,AJ7,AJ8,AJ9,AJ10,AJ11,AJ12,AJ13,AJ14,AJ15)</f>
        <v>1773</v>
      </c>
      <c r="AK16" s="10">
        <f>SUM(AK5,AK6,AK7,AK8,AK9,AK10,AK11,AK12,AK13,AK14,AK15)</f>
        <v>130.84870848708488</v>
      </c>
    </row>
    <row r="17" spans="1:37" ht="18" customHeight="1" x14ac:dyDescent="0.3">
      <c r="A17" s="114" t="s">
        <v>26</v>
      </c>
      <c r="B17" s="114"/>
      <c r="C17" s="115"/>
      <c r="D17" s="116">
        <v>2113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63"/>
    </row>
    <row r="18" spans="1:37" ht="18" customHeight="1" x14ac:dyDescent="0.3">
      <c r="A18" s="109" t="s">
        <v>20</v>
      </c>
      <c r="B18" s="109"/>
      <c r="C18" s="110"/>
      <c r="D18" s="120">
        <f>((AJ3+AJ4+D17)-AJ16)-D17</f>
        <v>-418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-30.84870848708487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1695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2">
    <mergeCell ref="A19:C19"/>
    <mergeCell ref="D19:AJ19"/>
    <mergeCell ref="A17:C17"/>
    <mergeCell ref="D17:AJ17"/>
    <mergeCell ref="A18:C18"/>
    <mergeCell ref="D18:AJ18"/>
    <mergeCell ref="AI1:AI2"/>
    <mergeCell ref="AJ1:AJ2"/>
    <mergeCell ref="AK1:AK2"/>
    <mergeCell ref="A3:B4"/>
    <mergeCell ref="AI3:AI4"/>
    <mergeCell ref="AK3:AK4"/>
    <mergeCell ref="H16:N16"/>
    <mergeCell ref="O16:U16"/>
    <mergeCell ref="V16:AB16"/>
    <mergeCell ref="AC16:AH16"/>
    <mergeCell ref="A1:C2"/>
    <mergeCell ref="A5:A16"/>
    <mergeCell ref="B5:B11"/>
    <mergeCell ref="B12:B15"/>
    <mergeCell ref="B16:C16"/>
    <mergeCell ref="D16:G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4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7" t="s">
        <v>11</v>
      </c>
      <c r="E1" s="55" t="s">
        <v>17</v>
      </c>
      <c r="F1" s="36" t="s">
        <v>16</v>
      </c>
      <c r="G1" s="37" t="s">
        <v>15</v>
      </c>
      <c r="H1" s="36" t="s">
        <v>14</v>
      </c>
      <c r="I1" s="36" t="s">
        <v>13</v>
      </c>
      <c r="J1" s="36" t="s">
        <v>12</v>
      </c>
      <c r="K1" s="37" t="s">
        <v>11</v>
      </c>
      <c r="L1" s="55" t="s">
        <v>17</v>
      </c>
      <c r="M1" s="36" t="s">
        <v>16</v>
      </c>
      <c r="N1" s="37" t="s">
        <v>15</v>
      </c>
      <c r="O1" s="36" t="s">
        <v>14</v>
      </c>
      <c r="P1" s="36" t="s">
        <v>13</v>
      </c>
      <c r="Q1" s="36" t="s">
        <v>12</v>
      </c>
      <c r="R1" s="37" t="s">
        <v>11</v>
      </c>
      <c r="S1" s="55" t="s">
        <v>17</v>
      </c>
      <c r="T1" s="36" t="s">
        <v>16</v>
      </c>
      <c r="U1" s="37" t="s">
        <v>15</v>
      </c>
      <c r="V1" s="36" t="s">
        <v>14</v>
      </c>
      <c r="W1" s="36" t="s">
        <v>13</v>
      </c>
      <c r="X1" s="36" t="s">
        <v>12</v>
      </c>
      <c r="Y1" s="37" t="s">
        <v>11</v>
      </c>
      <c r="Z1" s="55" t="s">
        <v>17</v>
      </c>
      <c r="AA1" s="36" t="s">
        <v>16</v>
      </c>
      <c r="AB1" s="37" t="s">
        <v>15</v>
      </c>
      <c r="AC1" s="36" t="s">
        <v>14</v>
      </c>
      <c r="AD1" s="36" t="s">
        <v>13</v>
      </c>
      <c r="AE1" s="36" t="s">
        <v>12</v>
      </c>
      <c r="AF1" s="37" t="s">
        <v>11</v>
      </c>
      <c r="AG1" s="55" t="s">
        <v>17</v>
      </c>
      <c r="AH1" s="36" t="s">
        <v>16</v>
      </c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>
        <v>799</v>
      </c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>
        <v>670</v>
      </c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4">
        <f>(AJ3+AJ4)/31</f>
        <v>69.677419354838705</v>
      </c>
      <c r="AJ3" s="48">
        <f>SUM(D3:AH3)</f>
        <v>1469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>
        <v>50</v>
      </c>
      <c r="E4" s="18">
        <v>4</v>
      </c>
      <c r="F4" s="18"/>
      <c r="G4" s="18"/>
      <c r="H4" s="18">
        <v>10</v>
      </c>
      <c r="I4" s="18"/>
      <c r="J4" s="19"/>
      <c r="K4" s="18">
        <v>16</v>
      </c>
      <c r="L4" s="18"/>
      <c r="M4" s="18">
        <v>80</v>
      </c>
      <c r="N4" s="18">
        <v>3</v>
      </c>
      <c r="O4" s="18">
        <v>4</v>
      </c>
      <c r="P4" s="18">
        <v>2</v>
      </c>
      <c r="Q4" s="18">
        <v>4</v>
      </c>
      <c r="R4" s="18">
        <v>34</v>
      </c>
      <c r="S4" s="18"/>
      <c r="T4" s="18">
        <v>7</v>
      </c>
      <c r="U4" s="18"/>
      <c r="V4" s="18"/>
      <c r="W4" s="18">
        <v>6</v>
      </c>
      <c r="X4" s="18">
        <v>20</v>
      </c>
      <c r="Y4" s="18">
        <v>3</v>
      </c>
      <c r="Z4" s="18">
        <v>3</v>
      </c>
      <c r="AA4" s="18">
        <v>3</v>
      </c>
      <c r="AB4" s="18">
        <v>433</v>
      </c>
      <c r="AC4" s="20">
        <v>3</v>
      </c>
      <c r="AD4" s="18">
        <v>3</v>
      </c>
      <c r="AE4" s="19">
        <v>3</v>
      </c>
      <c r="AF4" s="18"/>
      <c r="AG4" s="19"/>
      <c r="AH4" s="18"/>
      <c r="AI4" s="105"/>
      <c r="AJ4" s="48">
        <f>SUM(D4:AH4)</f>
        <v>691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/>
      <c r="E5" s="2">
        <v>5</v>
      </c>
      <c r="F5" s="2"/>
      <c r="G5" s="2"/>
      <c r="H5" s="2"/>
      <c r="I5" s="2">
        <v>4</v>
      </c>
      <c r="J5" s="2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1"/>
      <c r="AD5" s="2"/>
      <c r="AE5" s="23"/>
      <c r="AF5" s="2"/>
      <c r="AG5" s="23"/>
      <c r="AH5" s="2"/>
      <c r="AI5" s="43">
        <f t="shared" ref="AI5:AI16" si="0">AJ5/31</f>
        <v>0.29032258064516131</v>
      </c>
      <c r="AJ5" s="32">
        <f>SUM(D5,E5,F5,G5,H5,I5,J5,K5,L5,M5,N5,O5,P5,Q5,R5,S5,T5,U5,V5,W5,X5,Y5,Z5,AA5,AB5,AC5,AD5,AE5,AF5,AG5,AH5)</f>
        <v>9</v>
      </c>
      <c r="AK5" s="3">
        <f>(AJ5/(AJ3+AJ4))*100</f>
        <v>0.41666666666666669</v>
      </c>
    </row>
    <row r="6" spans="1:37" ht="18.95" customHeight="1" x14ac:dyDescent="0.3">
      <c r="A6" s="88"/>
      <c r="B6" s="90"/>
      <c r="C6" s="60" t="s">
        <v>6</v>
      </c>
      <c r="D6" s="4"/>
      <c r="E6" s="4"/>
      <c r="F6" s="4"/>
      <c r="G6" s="4"/>
      <c r="H6" s="4"/>
      <c r="I6" s="4"/>
      <c r="J6" s="24"/>
      <c r="K6" s="4"/>
      <c r="L6" s="4"/>
      <c r="M6" s="4">
        <v>76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25"/>
      <c r="AD6" s="4"/>
      <c r="AE6" s="24"/>
      <c r="AF6" s="4"/>
      <c r="AG6" s="24"/>
      <c r="AH6" s="4"/>
      <c r="AI6" s="44">
        <f t="shared" si="0"/>
        <v>2.4516129032258065</v>
      </c>
      <c r="AJ6" s="33">
        <f>SUM(D6,E6,F6,G6,H6,I6,J6,K6,L6,M6,N6,O6,P6,Q6,R6,S6,T6,U6,V6,W6,X6,Y6,Z6,AA6,AB6,AC6,AD6,AE6,AF6,AG6,AH6)</f>
        <v>76</v>
      </c>
      <c r="AK6" s="5">
        <f>(AJ6/(AJ3+AJ4))*100</f>
        <v>3.5185185185185186</v>
      </c>
    </row>
    <row r="7" spans="1:37" ht="18.95" customHeight="1" x14ac:dyDescent="0.3">
      <c r="A7" s="88"/>
      <c r="B7" s="90"/>
      <c r="C7" s="60" t="s">
        <v>21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8"/>
      <c r="B8" s="90"/>
      <c r="C8" s="61" t="s">
        <v>22</v>
      </c>
      <c r="D8" s="38"/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>
        <v>5</v>
      </c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0.16129032258064516</v>
      </c>
      <c r="AJ8" s="41">
        <f>SUM(D8,E8,F8,G8,H8,I8,J8,K8,L8,M8,N8,O8,P8,Q8,R8,S8,T8,U8,V8,W8,X8,Y8,Z8,AA8,AB8,AC8,AD8,AE8,AF8,AG8,AH8)</f>
        <v>5</v>
      </c>
      <c r="AK8" s="42">
        <f>(AJ8/(AJ3+AJ4))*100</f>
        <v>0.23148148148148145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0</v>
      </c>
      <c r="AJ9" s="32">
        <f>SUM(D9,E9,F9,G9,H9,I9,J9,K9,L9,M9,N9,O9,P9,Q9,R9,S9,T9,U9,V9,W9,X9,Y9,Z9,AA9,AB9,AC9,AD9,AE9,AF9,AG9,AH9)</f>
        <v>0</v>
      </c>
      <c r="AK9" s="3">
        <f>(AJ9/(AJ3+AJ4))*100</f>
        <v>0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8</v>
      </c>
      <c r="D11" s="21"/>
      <c r="E11" s="2"/>
      <c r="F11" s="2"/>
      <c r="G11" s="2"/>
      <c r="H11" s="2"/>
      <c r="I11" s="2"/>
      <c r="J11" s="22"/>
      <c r="K11" s="2"/>
      <c r="L11" s="2"/>
      <c r="M11" s="2">
        <v>20</v>
      </c>
      <c r="N11" s="2"/>
      <c r="O11" s="2">
        <v>40</v>
      </c>
      <c r="P11" s="2">
        <v>3</v>
      </c>
      <c r="Q11" s="2"/>
      <c r="R11" s="2"/>
      <c r="S11" s="2">
        <v>14</v>
      </c>
      <c r="T11" s="2"/>
      <c r="U11" s="2"/>
      <c r="V11" s="2"/>
      <c r="W11" s="2">
        <v>326</v>
      </c>
      <c r="X11" s="2">
        <v>10</v>
      </c>
      <c r="Y11" s="2"/>
      <c r="Z11" s="2"/>
      <c r="AA11" s="2"/>
      <c r="AB11" s="2"/>
      <c r="AC11" s="21">
        <v>7</v>
      </c>
      <c r="AD11" s="2"/>
      <c r="AE11" s="23"/>
      <c r="AF11" s="2"/>
      <c r="AG11" s="23"/>
      <c r="AH11" s="2"/>
      <c r="AI11" s="43">
        <f t="shared" si="0"/>
        <v>13.548387096774194</v>
      </c>
      <c r="AJ11" s="32">
        <f>SUM(D11,E11,F11,G11,H11,I11,J11,K11,L11,M11,N11,O11,P11,Q11,R11,S11,T11,U11,V11,W11,X11,Y11,Z11,AA11,AB11,AC11,AD11,AE11,AF11,AG11,AH11)</f>
        <v>420</v>
      </c>
      <c r="AK11" s="3">
        <f>(AJ11/(AJ3+AJ4))*100</f>
        <v>19.444444444444446</v>
      </c>
    </row>
    <row r="12" spans="1:37" ht="18.95" customHeight="1" x14ac:dyDescent="0.3">
      <c r="A12" s="88"/>
      <c r="B12" s="91" t="s">
        <v>4</v>
      </c>
      <c r="C12" s="62" t="s">
        <v>9</v>
      </c>
      <c r="D12" s="6"/>
      <c r="E12" s="6"/>
      <c r="F12" s="6"/>
      <c r="G12" s="6"/>
      <c r="H12" s="6"/>
      <c r="I12" s="6"/>
      <c r="J12" s="26"/>
      <c r="K12" s="6">
        <v>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11</v>
      </c>
      <c r="Y12" s="6"/>
      <c r="Z12" s="6"/>
      <c r="AA12" s="6"/>
      <c r="AB12" s="6"/>
      <c r="AC12" s="27">
        <v>8</v>
      </c>
      <c r="AD12" s="6">
        <v>10</v>
      </c>
      <c r="AE12" s="26"/>
      <c r="AF12" s="6"/>
      <c r="AG12" s="26"/>
      <c r="AH12" s="6"/>
      <c r="AI12" s="45">
        <f t="shared" si="0"/>
        <v>1.1935483870967742</v>
      </c>
      <c r="AJ12" s="34">
        <f>SUM(D12,E12,F12,G12,H12,I12,J12,K12,L12,M12,N12,O12,P12,Q12,R12,S12,T12,U12,V12,W12,X12,Y12,Z12,AA12,AB12,AC12,AD12,AE12,AF12,AG12,AH12)</f>
        <v>37</v>
      </c>
      <c r="AK12" s="7">
        <f>(AJ12/(AJ3+AJ4))*100</f>
        <v>1.712962962962963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</v>
      </c>
      <c r="AJ13" s="35">
        <f t="shared" si="1"/>
        <v>0</v>
      </c>
      <c r="AK13" s="9">
        <f>(AJ13/(AJ3+AJ4))*100</f>
        <v>0</v>
      </c>
    </row>
    <row r="14" spans="1:37" ht="18.95" customHeight="1" x14ac:dyDescent="0.3">
      <c r="A14" s="88"/>
      <c r="B14" s="92"/>
      <c r="C14" s="56" t="s">
        <v>28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/>
      <c r="Q14" s="6"/>
      <c r="R14" s="6">
        <v>100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3.225806451612903</v>
      </c>
      <c r="AJ14" s="34">
        <f t="shared" si="1"/>
        <v>100</v>
      </c>
      <c r="AK14" s="7">
        <f>(AJ14/(AJ3+AJ4))*100</f>
        <v>4.6296296296296298</v>
      </c>
    </row>
    <row r="15" spans="1:37" ht="18.95" customHeight="1" x14ac:dyDescent="0.3">
      <c r="A15" s="88"/>
      <c r="B15" s="93"/>
      <c r="C15" s="62" t="s">
        <v>4</v>
      </c>
      <c r="D15" s="51">
        <v>40</v>
      </c>
      <c r="E15" s="51">
        <v>11</v>
      </c>
      <c r="F15" s="51">
        <v>20</v>
      </c>
      <c r="G15" s="51"/>
      <c r="H15" s="51"/>
      <c r="I15" s="51">
        <v>250</v>
      </c>
      <c r="J15" s="50"/>
      <c r="K15" s="51">
        <v>25</v>
      </c>
      <c r="L15" s="51">
        <v>30</v>
      </c>
      <c r="M15" s="51"/>
      <c r="N15" s="51"/>
      <c r="O15" s="51"/>
      <c r="P15" s="51"/>
      <c r="Q15" s="51">
        <v>30</v>
      </c>
      <c r="R15" s="51"/>
      <c r="S15" s="51">
        <v>50</v>
      </c>
      <c r="T15" s="51"/>
      <c r="U15" s="51"/>
      <c r="V15" s="51">
        <v>40</v>
      </c>
      <c r="W15" s="51"/>
      <c r="X15" s="51">
        <v>41</v>
      </c>
      <c r="Y15" s="51"/>
      <c r="Z15" s="51">
        <v>12</v>
      </c>
      <c r="AA15" s="51"/>
      <c r="AB15" s="51"/>
      <c r="AC15" s="52"/>
      <c r="AD15" s="51">
        <v>40</v>
      </c>
      <c r="AE15" s="50"/>
      <c r="AF15" s="51"/>
      <c r="AG15" s="50"/>
      <c r="AH15" s="51"/>
      <c r="AI15" s="45">
        <f t="shared" si="0"/>
        <v>19</v>
      </c>
      <c r="AJ15" s="34">
        <f>SUM(D15,E15,F15,G15,H15,I15,J15,K15,L15,M15,N15,O15,P15,Q15,R15,S15,T15,U15,V15,W15,X15,Y15,Z15,AA15,AB15,AC15,AD15,AE15,AF15,AG15,AH15)</f>
        <v>589</v>
      </c>
      <c r="AK15" s="7">
        <f>(AJ15/(AJ3+AJ4))*100</f>
        <v>27.268518518518519</v>
      </c>
    </row>
    <row r="16" spans="1:37" ht="18.399999999999999" customHeight="1" x14ac:dyDescent="0.3">
      <c r="A16" s="89"/>
      <c r="B16" s="80" t="s">
        <v>10</v>
      </c>
      <c r="C16" s="81"/>
      <c r="D16" s="67"/>
      <c r="E16" s="80">
        <f>SUM(E5:K15)</f>
        <v>323</v>
      </c>
      <c r="F16" s="81"/>
      <c r="G16" s="81"/>
      <c r="H16" s="81"/>
      <c r="I16" s="81"/>
      <c r="J16" s="81"/>
      <c r="K16" s="82"/>
      <c r="L16" s="80">
        <f>SUM(L5:R15)</f>
        <v>299</v>
      </c>
      <c r="M16" s="81"/>
      <c r="N16" s="81"/>
      <c r="O16" s="81"/>
      <c r="P16" s="81"/>
      <c r="Q16" s="81"/>
      <c r="R16" s="82"/>
      <c r="S16" s="80">
        <f>SUM(S5:Y15)</f>
        <v>497</v>
      </c>
      <c r="T16" s="81"/>
      <c r="U16" s="81"/>
      <c r="V16" s="81"/>
      <c r="W16" s="81"/>
      <c r="X16" s="81"/>
      <c r="Y16" s="82"/>
      <c r="Z16" s="80">
        <f>SUM(Z5:AF15)</f>
        <v>77</v>
      </c>
      <c r="AA16" s="81"/>
      <c r="AB16" s="81"/>
      <c r="AC16" s="81"/>
      <c r="AD16" s="81"/>
      <c r="AE16" s="81"/>
      <c r="AF16" s="82"/>
      <c r="AG16" s="65"/>
      <c r="AH16" s="66"/>
      <c r="AI16" s="53">
        <f t="shared" si="0"/>
        <v>39.87096774193548</v>
      </c>
      <c r="AJ16" s="49">
        <f>SUM(AJ5,AJ6,AJ7,AJ8,AJ9,AJ10,AJ11,AJ12,AJ13,AJ14,AJ15)</f>
        <v>1236</v>
      </c>
      <c r="AK16" s="10">
        <f>SUM(AK5,AK6,AK7,AK8,AK9,AK10,AK11,AK12,AK13,AK14,AK15)</f>
        <v>57.222222222222229</v>
      </c>
    </row>
    <row r="17" spans="1:37" ht="18" customHeight="1" x14ac:dyDescent="0.3">
      <c r="A17" s="114" t="s">
        <v>26</v>
      </c>
      <c r="B17" s="114"/>
      <c r="C17" s="115"/>
      <c r="D17" s="116">
        <v>1695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64"/>
    </row>
    <row r="18" spans="1:37" ht="18" customHeight="1" x14ac:dyDescent="0.3">
      <c r="A18" s="109" t="s">
        <v>20</v>
      </c>
      <c r="B18" s="109"/>
      <c r="C18" s="110"/>
      <c r="D18" s="120">
        <f>((AJ3+AJ4+D17)-AJ16)-D17</f>
        <v>924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42.777777777777779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2619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1">
    <mergeCell ref="L16:R16"/>
    <mergeCell ref="S16:Y16"/>
    <mergeCell ref="Z16:AF16"/>
    <mergeCell ref="A1:C2"/>
    <mergeCell ref="AI1:AI2"/>
    <mergeCell ref="A5:A16"/>
    <mergeCell ref="B5:B11"/>
    <mergeCell ref="B12:B15"/>
    <mergeCell ref="B16:C16"/>
    <mergeCell ref="E16:K16"/>
    <mergeCell ref="AJ1:AJ2"/>
    <mergeCell ref="AK1:AK2"/>
    <mergeCell ref="A3:B4"/>
    <mergeCell ref="AI3:AI4"/>
    <mergeCell ref="AK3:AK4"/>
    <mergeCell ref="A19:C19"/>
    <mergeCell ref="D19:AJ19"/>
    <mergeCell ref="A17:C17"/>
    <mergeCell ref="D17:AJ17"/>
    <mergeCell ref="A18:C18"/>
    <mergeCell ref="D18:AJ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4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7" t="s">
        <v>11</v>
      </c>
      <c r="E1" s="55" t="s">
        <v>17</v>
      </c>
      <c r="F1" s="36" t="s">
        <v>16</v>
      </c>
      <c r="G1" s="37" t="s">
        <v>15</v>
      </c>
      <c r="H1" s="36" t="s">
        <v>14</v>
      </c>
      <c r="I1" s="36" t="s">
        <v>13</v>
      </c>
      <c r="J1" s="36" t="s">
        <v>12</v>
      </c>
      <c r="K1" s="37" t="s">
        <v>11</v>
      </c>
      <c r="L1" s="55" t="s">
        <v>17</v>
      </c>
      <c r="M1" s="36" t="s">
        <v>16</v>
      </c>
      <c r="N1" s="37" t="s">
        <v>15</v>
      </c>
      <c r="O1" s="36" t="s">
        <v>14</v>
      </c>
      <c r="P1" s="36" t="s">
        <v>13</v>
      </c>
      <c r="Q1" s="36" t="s">
        <v>12</v>
      </c>
      <c r="R1" s="37" t="s">
        <v>11</v>
      </c>
      <c r="S1" s="55" t="s">
        <v>17</v>
      </c>
      <c r="T1" s="36" t="s">
        <v>16</v>
      </c>
      <c r="U1" s="37" t="s">
        <v>15</v>
      </c>
      <c r="V1" s="36" t="s">
        <v>14</v>
      </c>
      <c r="W1" s="36" t="s">
        <v>13</v>
      </c>
      <c r="X1" s="36" t="s">
        <v>12</v>
      </c>
      <c r="Y1" s="37" t="s">
        <v>11</v>
      </c>
      <c r="Z1" s="55" t="s">
        <v>17</v>
      </c>
      <c r="AA1" s="36" t="s">
        <v>16</v>
      </c>
      <c r="AB1" s="37" t="s">
        <v>15</v>
      </c>
      <c r="AC1" s="36" t="s">
        <v>14</v>
      </c>
      <c r="AD1" s="36" t="s">
        <v>13</v>
      </c>
      <c r="AE1" s="36" t="s">
        <v>12</v>
      </c>
      <c r="AF1" s="37" t="s">
        <v>11</v>
      </c>
      <c r="AG1" s="55" t="s">
        <v>17</v>
      </c>
      <c r="AH1" s="36" t="s">
        <v>16</v>
      </c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>
        <v>1079</v>
      </c>
      <c r="J3" s="16"/>
      <c r="K3" s="15"/>
      <c r="L3" s="15"/>
      <c r="M3" s="15"/>
      <c r="N3" s="15"/>
      <c r="O3" s="15"/>
      <c r="P3" s="15"/>
      <c r="Q3" s="15"/>
      <c r="R3" s="15"/>
      <c r="S3" s="15"/>
      <c r="T3" s="15">
        <v>722</v>
      </c>
      <c r="U3" s="15"/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4">
        <f>(AJ3+AJ4)/31</f>
        <v>65.645161290322577</v>
      </c>
      <c r="AJ3" s="48">
        <f>SUM(D3:AH3)</f>
        <v>1801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/>
      <c r="E4" s="18"/>
      <c r="F4" s="18"/>
      <c r="G4" s="18"/>
      <c r="H4" s="18">
        <v>4</v>
      </c>
      <c r="I4" s="18">
        <v>2</v>
      </c>
      <c r="J4" s="19">
        <v>5</v>
      </c>
      <c r="K4" s="18">
        <v>10</v>
      </c>
      <c r="L4" s="18"/>
      <c r="M4" s="18">
        <v>3</v>
      </c>
      <c r="N4" s="18">
        <v>30</v>
      </c>
      <c r="O4" s="18">
        <v>2</v>
      </c>
      <c r="P4" s="18">
        <v>5</v>
      </c>
      <c r="Q4" s="18"/>
      <c r="R4" s="18">
        <v>60</v>
      </c>
      <c r="S4" s="18"/>
      <c r="T4" s="18"/>
      <c r="U4" s="18">
        <v>10</v>
      </c>
      <c r="V4" s="18">
        <v>4</v>
      </c>
      <c r="W4" s="18">
        <v>4</v>
      </c>
      <c r="X4" s="18">
        <v>23</v>
      </c>
      <c r="Y4" s="18">
        <v>2</v>
      </c>
      <c r="Z4" s="18">
        <v>60</v>
      </c>
      <c r="AA4" s="18"/>
      <c r="AB4" s="18"/>
      <c r="AC4" s="20"/>
      <c r="AD4" s="18">
        <v>10</v>
      </c>
      <c r="AE4" s="19"/>
      <c r="AF4" s="18"/>
      <c r="AG4" s="19"/>
      <c r="AH4" s="18"/>
      <c r="AI4" s="105"/>
      <c r="AJ4" s="48">
        <f>SUM(D4:AH4)</f>
        <v>234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/>
      <c r="E5" s="2">
        <v>16</v>
      </c>
      <c r="F5" s="2">
        <v>6</v>
      </c>
      <c r="G5" s="2">
        <v>6</v>
      </c>
      <c r="H5" s="2"/>
      <c r="I5" s="2"/>
      <c r="J5" s="22"/>
      <c r="K5" s="2"/>
      <c r="L5" s="2">
        <v>13</v>
      </c>
      <c r="M5" s="2">
        <v>6</v>
      </c>
      <c r="N5" s="2"/>
      <c r="O5" s="2">
        <v>25</v>
      </c>
      <c r="P5" s="2"/>
      <c r="Q5" s="2"/>
      <c r="R5" s="2"/>
      <c r="S5" s="2">
        <v>8</v>
      </c>
      <c r="T5" s="2">
        <v>18</v>
      </c>
      <c r="U5" s="2"/>
      <c r="V5" s="2"/>
      <c r="W5" s="2"/>
      <c r="X5" s="2"/>
      <c r="Y5" s="2"/>
      <c r="Z5" s="2">
        <v>29</v>
      </c>
      <c r="AA5" s="2">
        <v>11</v>
      </c>
      <c r="AB5" s="2"/>
      <c r="AC5" s="21"/>
      <c r="AD5" s="2"/>
      <c r="AE5" s="23"/>
      <c r="AF5" s="2">
        <v>5</v>
      </c>
      <c r="AG5" s="23">
        <v>22</v>
      </c>
      <c r="AH5" s="2">
        <v>14</v>
      </c>
      <c r="AI5" s="43">
        <f t="shared" ref="AI5:AI16" si="0">AJ5/31</f>
        <v>5.774193548387097</v>
      </c>
      <c r="AJ5" s="32">
        <f>SUM(D5,E5,F5,G5,H5,I5,J5,K5,L5,M5,N5,O5,P5,Q5,R5,S5,T5,U5,V5,W5,X5,Y5,Z5,AA5,AB5,AC5,AD5,AE5,AF5,AG5,AH5)</f>
        <v>179</v>
      </c>
      <c r="AK5" s="3">
        <f>(AJ5/(AJ3+AJ4))*100</f>
        <v>8.7960687960687949</v>
      </c>
    </row>
    <row r="6" spans="1:37" ht="18.95" customHeight="1" x14ac:dyDescent="0.3">
      <c r="A6" s="88"/>
      <c r="B6" s="90"/>
      <c r="C6" s="60" t="s">
        <v>6</v>
      </c>
      <c r="D6" s="4"/>
      <c r="E6" s="4">
        <v>40</v>
      </c>
      <c r="F6" s="4"/>
      <c r="G6" s="4">
        <v>20</v>
      </c>
      <c r="H6" s="4">
        <v>36</v>
      </c>
      <c r="I6" s="4"/>
      <c r="J6" s="24"/>
      <c r="K6" s="4"/>
      <c r="L6" s="4"/>
      <c r="M6" s="4"/>
      <c r="N6" s="4"/>
      <c r="O6" s="4"/>
      <c r="P6" s="4"/>
      <c r="Q6" s="4"/>
      <c r="R6" s="4">
        <v>34</v>
      </c>
      <c r="S6" s="4">
        <v>28</v>
      </c>
      <c r="T6" s="4"/>
      <c r="U6" s="4">
        <v>6</v>
      </c>
      <c r="V6" s="4">
        <v>34</v>
      </c>
      <c r="W6" s="4"/>
      <c r="X6" s="4"/>
      <c r="Y6" s="4"/>
      <c r="Z6" s="4">
        <v>40</v>
      </c>
      <c r="AA6" s="4">
        <v>8</v>
      </c>
      <c r="AB6" s="4"/>
      <c r="AC6" s="25">
        <v>37</v>
      </c>
      <c r="AD6" s="4"/>
      <c r="AE6" s="24"/>
      <c r="AF6" s="4">
        <v>9</v>
      </c>
      <c r="AG6" s="24">
        <v>18</v>
      </c>
      <c r="AH6" s="4"/>
      <c r="AI6" s="44">
        <f t="shared" si="0"/>
        <v>10</v>
      </c>
      <c r="AJ6" s="33">
        <f>SUM(D6,E6,F6,G6,H6,I6,J6,K6,L6,M6,N6,O6,P6,Q6,R6,S6,T6,U6,V6,W6,X6,Y6,Z6,AA6,AB6,AC6,AD6,AE6,AF6,AG6,AH6)</f>
        <v>310</v>
      </c>
      <c r="AK6" s="5">
        <f>(AJ6/(AJ3+AJ4))*100</f>
        <v>15.233415233415235</v>
      </c>
    </row>
    <row r="7" spans="1:37" ht="18.95" customHeight="1" x14ac:dyDescent="0.3">
      <c r="A7" s="88"/>
      <c r="B7" s="90"/>
      <c r="C7" s="60" t="s">
        <v>21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8"/>
      <c r="B8" s="90"/>
      <c r="C8" s="61" t="s">
        <v>22</v>
      </c>
      <c r="D8" s="38"/>
      <c r="E8" s="39"/>
      <c r="F8" s="39"/>
      <c r="G8" s="39"/>
      <c r="H8" s="39">
        <v>58</v>
      </c>
      <c r="I8" s="39"/>
      <c r="J8" s="40"/>
      <c r="K8" s="39"/>
      <c r="L8" s="39">
        <v>12</v>
      </c>
      <c r="M8" s="39"/>
      <c r="N8" s="39"/>
      <c r="O8" s="39"/>
      <c r="P8" s="39"/>
      <c r="Q8" s="39"/>
      <c r="R8" s="39"/>
      <c r="S8" s="39">
        <v>2</v>
      </c>
      <c r="T8" s="39"/>
      <c r="U8" s="39"/>
      <c r="V8" s="39"/>
      <c r="W8" s="39"/>
      <c r="X8" s="39"/>
      <c r="Y8" s="39"/>
      <c r="Z8" s="39"/>
      <c r="AA8" s="39"/>
      <c r="AB8" s="39">
        <v>6</v>
      </c>
      <c r="AC8" s="38"/>
      <c r="AD8" s="39"/>
      <c r="AE8" s="40"/>
      <c r="AF8" s="39"/>
      <c r="AG8" s="40"/>
      <c r="AH8" s="39"/>
      <c r="AI8" s="47">
        <f t="shared" si="0"/>
        <v>2.5161290322580645</v>
      </c>
      <c r="AJ8" s="41">
        <f>SUM(D8,E8,F8,G8,H8,I8,J8,K8,L8,M8,N8,O8,P8,Q8,R8,S8,T8,U8,V8,W8,X8,Y8,Z8,AA8,AB8,AC8,AD8,AE8,AF8,AG8,AH8)</f>
        <v>78</v>
      </c>
      <c r="AK8" s="42">
        <f>(AJ8/(AJ3+AJ4))*100</f>
        <v>3.8329238329238331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0</v>
      </c>
      <c r="AJ9" s="32">
        <f>SUM(D9,E9,F9,G9,H9,I9,J9,K9,L9,M9,N9,O9,P9,Q9,R9,S9,T9,U9,V9,W9,X9,Y9,Z9,AA9,AB9,AC9,AD9,AE9,AF9,AG9,AH9)</f>
        <v>0</v>
      </c>
      <c r="AK9" s="3">
        <f>(AJ9/(AJ3+AJ4))*100</f>
        <v>0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8</v>
      </c>
      <c r="D11" s="21"/>
      <c r="E11" s="2"/>
      <c r="F11" s="2"/>
      <c r="G11" s="2"/>
      <c r="H11" s="2"/>
      <c r="I11" s="2"/>
      <c r="J11" s="22"/>
      <c r="K11" s="2"/>
      <c r="L11" s="2">
        <v>1</v>
      </c>
      <c r="M11" s="2"/>
      <c r="N11" s="2"/>
      <c r="O11" s="2">
        <v>5</v>
      </c>
      <c r="P11" s="2"/>
      <c r="Q11" s="2"/>
      <c r="R11" s="2"/>
      <c r="S11" s="2"/>
      <c r="T11" s="2"/>
      <c r="U11" s="2"/>
      <c r="V11" s="2">
        <v>1</v>
      </c>
      <c r="W11" s="2">
        <v>2</v>
      </c>
      <c r="X11" s="2"/>
      <c r="Y11" s="2"/>
      <c r="Z11" s="2">
        <v>1</v>
      </c>
      <c r="AA11" s="2"/>
      <c r="AB11" s="2">
        <v>1</v>
      </c>
      <c r="AC11" s="21"/>
      <c r="AD11" s="2"/>
      <c r="AE11" s="23"/>
      <c r="AF11" s="2"/>
      <c r="AG11" s="23"/>
      <c r="AH11" s="2">
        <v>10</v>
      </c>
      <c r="AI11" s="43">
        <f t="shared" si="0"/>
        <v>0.67741935483870963</v>
      </c>
      <c r="AJ11" s="32">
        <f>SUM(D11,E11,F11,G11,H11,I11,J11,K11,L11,M11,N11,O11,P11,Q11,R11,S11,T11,U11,V11,W11,X11,Y11,Z11,AA11,AB11,AC11,AD11,AE11,AF11,AG11,AH11)</f>
        <v>21</v>
      </c>
      <c r="AK11" s="3">
        <f>(AJ11/(AJ3+AJ4))*100</f>
        <v>1.0319410319410318</v>
      </c>
    </row>
    <row r="12" spans="1:37" ht="18.95" customHeight="1" x14ac:dyDescent="0.3">
      <c r="A12" s="88"/>
      <c r="B12" s="91" t="s">
        <v>4</v>
      </c>
      <c r="C12" s="62" t="s">
        <v>9</v>
      </c>
      <c r="D12" s="6"/>
      <c r="E12" s="6"/>
      <c r="F12" s="6">
        <v>39</v>
      </c>
      <c r="G12" s="6"/>
      <c r="H12" s="6"/>
      <c r="I12" s="6">
        <v>10</v>
      </c>
      <c r="J12" s="26"/>
      <c r="K12" s="6"/>
      <c r="L12" s="6">
        <v>15</v>
      </c>
      <c r="M12" s="6"/>
      <c r="N12" s="6"/>
      <c r="O12" s="6">
        <v>25</v>
      </c>
      <c r="P12" s="6"/>
      <c r="Q12" s="6"/>
      <c r="R12" s="6"/>
      <c r="S12" s="6"/>
      <c r="T12" s="6"/>
      <c r="U12" s="6">
        <v>105</v>
      </c>
      <c r="V12" s="6"/>
      <c r="W12" s="6">
        <v>11</v>
      </c>
      <c r="X12" s="6">
        <v>14</v>
      </c>
      <c r="Y12" s="6">
        <v>13</v>
      </c>
      <c r="Z12" s="6"/>
      <c r="AA12" s="6"/>
      <c r="AB12" s="6"/>
      <c r="AC12" s="27">
        <v>10</v>
      </c>
      <c r="AD12" s="6">
        <v>24</v>
      </c>
      <c r="AE12" s="26"/>
      <c r="AF12" s="6"/>
      <c r="AG12" s="26"/>
      <c r="AH12" s="6"/>
      <c r="AI12" s="45">
        <f t="shared" si="0"/>
        <v>8.5806451612903221</v>
      </c>
      <c r="AJ12" s="34">
        <f>SUM(D12,E12,F12,G12,H12,I12,J12,K12,L12,M12,N12,O12,P12,Q12,R12,S12,T12,U12,V12,W12,X12,Y12,Z12,AA12,AB12,AC12,AD12,AE12,AF12,AG12,AH12)</f>
        <v>266</v>
      </c>
      <c r="AK12" s="7">
        <f>(AJ12/(AJ3+AJ4))*100</f>
        <v>13.071253071253071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>
        <v>6</v>
      </c>
      <c r="AE13" s="30"/>
      <c r="AF13" s="8"/>
      <c r="AG13" s="30"/>
      <c r="AH13" s="8"/>
      <c r="AI13" s="46">
        <f t="shared" si="0"/>
        <v>0.19354838709677419</v>
      </c>
      <c r="AJ13" s="35">
        <f t="shared" si="1"/>
        <v>6</v>
      </c>
      <c r="AK13" s="9">
        <f>(AJ13/(AJ3+AJ4))*100</f>
        <v>0.29484029484029484</v>
      </c>
    </row>
    <row r="14" spans="1:37" ht="18.95" customHeight="1" x14ac:dyDescent="0.3">
      <c r="A14" s="88"/>
      <c r="B14" s="92"/>
      <c r="C14" s="56" t="s">
        <v>28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/>
      <c r="Q14" s="6">
        <v>120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3.870967741935484</v>
      </c>
      <c r="AJ14" s="34">
        <f t="shared" si="1"/>
        <v>120</v>
      </c>
      <c r="AK14" s="7">
        <f>(AJ14/(AJ3+AJ4))*100</f>
        <v>5.8968058968058967</v>
      </c>
    </row>
    <row r="15" spans="1:37" ht="18.95" customHeight="1" x14ac:dyDescent="0.3">
      <c r="A15" s="88"/>
      <c r="B15" s="93"/>
      <c r="C15" s="62" t="s">
        <v>4</v>
      </c>
      <c r="D15" s="51"/>
      <c r="E15" s="51"/>
      <c r="F15" s="51"/>
      <c r="G15" s="51"/>
      <c r="H15" s="51"/>
      <c r="I15" s="51">
        <v>9</v>
      </c>
      <c r="J15" s="50"/>
      <c r="K15" s="51"/>
      <c r="L15" s="51">
        <v>10</v>
      </c>
      <c r="M15" s="51">
        <v>70</v>
      </c>
      <c r="N15" s="51"/>
      <c r="O15" s="51">
        <v>35</v>
      </c>
      <c r="P15" s="51"/>
      <c r="Q15" s="51"/>
      <c r="R15" s="51"/>
      <c r="S15" s="51"/>
      <c r="T15" s="51"/>
      <c r="U15" s="51"/>
      <c r="V15" s="51"/>
      <c r="W15" s="51">
        <v>50</v>
      </c>
      <c r="X15" s="51">
        <v>50</v>
      </c>
      <c r="Y15" s="51">
        <v>12</v>
      </c>
      <c r="Z15" s="51"/>
      <c r="AA15" s="51"/>
      <c r="AB15" s="51"/>
      <c r="AC15" s="52">
        <v>70</v>
      </c>
      <c r="AD15" s="51"/>
      <c r="AE15" s="50">
        <v>80</v>
      </c>
      <c r="AF15" s="51"/>
      <c r="AG15" s="50"/>
      <c r="AH15" s="51"/>
      <c r="AI15" s="45">
        <f t="shared" si="0"/>
        <v>12.451612903225806</v>
      </c>
      <c r="AJ15" s="34">
        <f>SUM(D15,E15,F15,G15,H15,I15,J15,K15,L15,M15,N15,O15,P15,Q15,R15,S15,T15,U15,V15,W15,X15,Y15,Z15,AA15,AB15,AC15,AD15,AE15,AF15,AG15,AH15)</f>
        <v>386</v>
      </c>
      <c r="AK15" s="7">
        <f>(AJ15/(AJ3+AJ4))*100</f>
        <v>18.968058968058969</v>
      </c>
    </row>
    <row r="16" spans="1:37" ht="18.399999999999999" customHeight="1" x14ac:dyDescent="0.3">
      <c r="A16" s="89"/>
      <c r="B16" s="80" t="s">
        <v>10</v>
      </c>
      <c r="C16" s="81"/>
      <c r="D16" s="68"/>
      <c r="E16" s="80">
        <f>SUM(E5:K15)</f>
        <v>240</v>
      </c>
      <c r="F16" s="81"/>
      <c r="G16" s="81"/>
      <c r="H16" s="81"/>
      <c r="I16" s="81"/>
      <c r="J16" s="81"/>
      <c r="K16" s="82"/>
      <c r="L16" s="80">
        <f>SUM(L5:R15)</f>
        <v>371</v>
      </c>
      <c r="M16" s="81"/>
      <c r="N16" s="81"/>
      <c r="O16" s="81"/>
      <c r="P16" s="81"/>
      <c r="Q16" s="81"/>
      <c r="R16" s="82"/>
      <c r="S16" s="80">
        <f>SUM(S5:Y15)</f>
        <v>354</v>
      </c>
      <c r="T16" s="81"/>
      <c r="U16" s="81"/>
      <c r="V16" s="81"/>
      <c r="W16" s="81"/>
      <c r="X16" s="81"/>
      <c r="Y16" s="82"/>
      <c r="Z16" s="80">
        <f>SUM(Z5:AF15)</f>
        <v>337</v>
      </c>
      <c r="AA16" s="81"/>
      <c r="AB16" s="81"/>
      <c r="AC16" s="81"/>
      <c r="AD16" s="81"/>
      <c r="AE16" s="81"/>
      <c r="AF16" s="82"/>
      <c r="AG16" s="80">
        <f>SUM(AG5:AH15)</f>
        <v>64</v>
      </c>
      <c r="AH16" s="82"/>
      <c r="AI16" s="53">
        <f t="shared" si="0"/>
        <v>44.064516129032256</v>
      </c>
      <c r="AJ16" s="49">
        <f>SUM(AJ5,AJ6,AJ7,AJ8,AJ9,AJ10,AJ11,AJ12,AJ13,AJ14,AJ15)</f>
        <v>1366</v>
      </c>
      <c r="AK16" s="10">
        <f>SUM(AK5,AK6,AK7,AK8,AK9,AK10,AK11,AK12,AK13,AK14,AK15)</f>
        <v>67.125307125307117</v>
      </c>
    </row>
    <row r="17" spans="1:37" ht="18" customHeight="1" x14ac:dyDescent="0.3">
      <c r="A17" s="114" t="s">
        <v>26</v>
      </c>
      <c r="B17" s="114"/>
      <c r="C17" s="115"/>
      <c r="D17" s="116">
        <v>2619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69"/>
    </row>
    <row r="18" spans="1:37" ht="18" customHeight="1" x14ac:dyDescent="0.3">
      <c r="A18" s="109" t="s">
        <v>20</v>
      </c>
      <c r="B18" s="109"/>
      <c r="C18" s="110"/>
      <c r="D18" s="120">
        <f>((AJ3+AJ4+D17)-AJ16)-D17</f>
        <v>669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32.874692874692876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3288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2">
    <mergeCell ref="A1:C2"/>
    <mergeCell ref="AI1:AI2"/>
    <mergeCell ref="AJ1:AJ2"/>
    <mergeCell ref="AK1:AK2"/>
    <mergeCell ref="A3:B4"/>
    <mergeCell ref="AI3:AI4"/>
    <mergeCell ref="AK3:AK4"/>
    <mergeCell ref="A19:C19"/>
    <mergeCell ref="D19:AJ19"/>
    <mergeCell ref="S16:Y16"/>
    <mergeCell ref="Z16:AF16"/>
    <mergeCell ref="A17:C17"/>
    <mergeCell ref="D17:AJ17"/>
    <mergeCell ref="A18:C18"/>
    <mergeCell ref="D18:AJ18"/>
    <mergeCell ref="A5:A16"/>
    <mergeCell ref="B5:B11"/>
    <mergeCell ref="B12:B15"/>
    <mergeCell ref="B16:C16"/>
    <mergeCell ref="E16:K16"/>
    <mergeCell ref="L16:R16"/>
    <mergeCell ref="AG16:AH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4"/>
  <sheetViews>
    <sheetView zoomScale="78" zoomScaleNormal="78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7" t="s">
        <v>15</v>
      </c>
      <c r="E1" s="36" t="s">
        <v>14</v>
      </c>
      <c r="F1" s="36" t="s">
        <v>13</v>
      </c>
      <c r="G1" s="36" t="s">
        <v>12</v>
      </c>
      <c r="H1" s="37" t="s">
        <v>11</v>
      </c>
      <c r="I1" s="55" t="s">
        <v>17</v>
      </c>
      <c r="J1" s="36" t="s">
        <v>16</v>
      </c>
      <c r="K1" s="37" t="s">
        <v>15</v>
      </c>
      <c r="L1" s="36" t="s">
        <v>14</v>
      </c>
      <c r="M1" s="36" t="s">
        <v>13</v>
      </c>
      <c r="N1" s="36" t="s">
        <v>12</v>
      </c>
      <c r="O1" s="37" t="s">
        <v>11</v>
      </c>
      <c r="P1" s="55" t="s">
        <v>17</v>
      </c>
      <c r="Q1" s="36" t="s">
        <v>16</v>
      </c>
      <c r="R1" s="37" t="s">
        <v>15</v>
      </c>
      <c r="S1" s="36" t="s">
        <v>14</v>
      </c>
      <c r="T1" s="36" t="s">
        <v>13</v>
      </c>
      <c r="U1" s="36" t="s">
        <v>12</v>
      </c>
      <c r="V1" s="37" t="s">
        <v>11</v>
      </c>
      <c r="W1" s="55" t="s">
        <v>17</v>
      </c>
      <c r="X1" s="36" t="s">
        <v>16</v>
      </c>
      <c r="Y1" s="37" t="s">
        <v>15</v>
      </c>
      <c r="Z1" s="36" t="s">
        <v>14</v>
      </c>
      <c r="AA1" s="36" t="s">
        <v>13</v>
      </c>
      <c r="AB1" s="36" t="s">
        <v>12</v>
      </c>
      <c r="AC1" s="37" t="s">
        <v>11</v>
      </c>
      <c r="AD1" s="55" t="s">
        <v>17</v>
      </c>
      <c r="AE1" s="36" t="s">
        <v>16</v>
      </c>
      <c r="AF1" s="37" t="s">
        <v>15</v>
      </c>
      <c r="AG1" s="36" t="s">
        <v>14</v>
      </c>
      <c r="AH1" s="36"/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>
        <v>972</v>
      </c>
      <c r="K3" s="15"/>
      <c r="L3" s="15"/>
      <c r="M3" s="15"/>
      <c r="N3" s="15"/>
      <c r="O3" s="15"/>
      <c r="P3" s="15">
        <v>972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4"/>
      <c r="AD3" s="15"/>
      <c r="AE3" s="17">
        <v>505</v>
      </c>
      <c r="AF3" s="15">
        <v>500</v>
      </c>
      <c r="AG3" s="17"/>
      <c r="AH3" s="15"/>
      <c r="AI3" s="104">
        <f>(AJ3+AJ4)/31</f>
        <v>123.58064516129032</v>
      </c>
      <c r="AJ3" s="48">
        <f>SUM(D3:AH3)</f>
        <v>2949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/>
      <c r="E4" s="18"/>
      <c r="F4" s="18"/>
      <c r="G4" s="18">
        <v>9</v>
      </c>
      <c r="H4" s="18"/>
      <c r="I4" s="18">
        <v>70</v>
      </c>
      <c r="J4" s="19"/>
      <c r="K4" s="18">
        <v>7</v>
      </c>
      <c r="L4" s="18"/>
      <c r="M4" s="18"/>
      <c r="N4" s="18">
        <v>6</v>
      </c>
      <c r="O4" s="18"/>
      <c r="P4" s="18">
        <v>85</v>
      </c>
      <c r="Q4" s="18">
        <v>15</v>
      </c>
      <c r="R4" s="18"/>
      <c r="S4" s="18"/>
      <c r="T4" s="18"/>
      <c r="U4" s="18"/>
      <c r="V4" s="18">
        <v>35</v>
      </c>
      <c r="W4" s="18"/>
      <c r="X4" s="18"/>
      <c r="Y4" s="18">
        <v>2</v>
      </c>
      <c r="Z4" s="18"/>
      <c r="AA4" s="18">
        <v>504</v>
      </c>
      <c r="AB4" s="18">
        <v>5</v>
      </c>
      <c r="AC4" s="20">
        <v>2</v>
      </c>
      <c r="AD4" s="18"/>
      <c r="AE4" s="19"/>
      <c r="AF4" s="18"/>
      <c r="AG4" s="19">
        <v>142</v>
      </c>
      <c r="AH4" s="18"/>
      <c r="AI4" s="105"/>
      <c r="AJ4" s="48">
        <f>SUM(D4:AH4)</f>
        <v>882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>
        <v>24</v>
      </c>
      <c r="E5" s="2">
        <v>27</v>
      </c>
      <c r="F5" s="2"/>
      <c r="G5" s="2">
        <v>11</v>
      </c>
      <c r="H5" s="2"/>
      <c r="I5" s="2">
        <v>8</v>
      </c>
      <c r="J5" s="22">
        <v>41</v>
      </c>
      <c r="K5" s="2"/>
      <c r="L5" s="2"/>
      <c r="M5" s="2"/>
      <c r="N5" s="2"/>
      <c r="O5" s="2"/>
      <c r="P5" s="2">
        <v>35</v>
      </c>
      <c r="Q5" s="2"/>
      <c r="R5" s="2"/>
      <c r="S5" s="2"/>
      <c r="T5" s="2"/>
      <c r="U5" s="2"/>
      <c r="V5" s="2"/>
      <c r="W5" s="2">
        <v>6</v>
      </c>
      <c r="X5" s="2">
        <v>4</v>
      </c>
      <c r="Y5" s="2"/>
      <c r="Z5" s="2"/>
      <c r="AA5" s="2"/>
      <c r="AB5" s="2"/>
      <c r="AC5" s="21"/>
      <c r="AD5" s="2">
        <v>20</v>
      </c>
      <c r="AE5" s="23"/>
      <c r="AF5" s="2">
        <v>39</v>
      </c>
      <c r="AG5" s="23"/>
      <c r="AH5" s="2"/>
      <c r="AI5" s="43">
        <f t="shared" ref="AI5:AI16" si="0">AJ5/31</f>
        <v>6.935483870967742</v>
      </c>
      <c r="AJ5" s="32">
        <f>SUM(D5,E5,F5,G5,H5,I5,J5,K5,L5,M5,N5,O5,P5,Q5,R5,S5,T5,U5,V5,W5,X5,Y5,Z5,AA5,AB5,AC5,AD5,AE5,AF5,AG5,AH5)</f>
        <v>215</v>
      </c>
      <c r="AK5" s="3">
        <f>(AJ5/(AJ3+AJ4))*100</f>
        <v>5.6121117201774995</v>
      </c>
    </row>
    <row r="6" spans="1:37" ht="18.95" customHeight="1" x14ac:dyDescent="0.3">
      <c r="A6" s="88"/>
      <c r="B6" s="90"/>
      <c r="C6" s="60" t="s">
        <v>6</v>
      </c>
      <c r="D6" s="4">
        <v>9</v>
      </c>
      <c r="E6" s="4">
        <v>5</v>
      </c>
      <c r="F6" s="4">
        <v>30</v>
      </c>
      <c r="G6" s="4"/>
      <c r="H6" s="4"/>
      <c r="I6" s="4">
        <v>41</v>
      </c>
      <c r="J6" s="24">
        <v>21</v>
      </c>
      <c r="K6" s="4">
        <v>39</v>
      </c>
      <c r="L6" s="4"/>
      <c r="M6" s="4"/>
      <c r="N6" s="4"/>
      <c r="O6" s="4"/>
      <c r="P6" s="4">
        <v>33</v>
      </c>
      <c r="Q6" s="4">
        <v>44</v>
      </c>
      <c r="R6" s="4"/>
      <c r="S6" s="4"/>
      <c r="T6" s="4"/>
      <c r="U6" s="4"/>
      <c r="V6" s="4"/>
      <c r="W6" s="4">
        <v>33</v>
      </c>
      <c r="X6" s="4">
        <v>30</v>
      </c>
      <c r="Y6" s="4">
        <v>41</v>
      </c>
      <c r="Z6" s="4"/>
      <c r="AA6" s="4"/>
      <c r="AB6" s="4"/>
      <c r="AC6" s="25"/>
      <c r="AD6" s="4">
        <v>33</v>
      </c>
      <c r="AE6" s="24">
        <v>15</v>
      </c>
      <c r="AF6" s="4"/>
      <c r="AG6" s="24"/>
      <c r="AH6" s="4"/>
      <c r="AI6" s="44">
        <f t="shared" si="0"/>
        <v>12.064516129032258</v>
      </c>
      <c r="AJ6" s="33">
        <f>SUM(D6,E6,F6,G6,H6,I6,J6,K6,L6,M6,N6,O6,P6,Q6,R6,S6,T6,U6,V6,W6,X6,Y6,Z6,AA6,AB6,AC6,AD6,AE6,AF6,AG6,AH6)</f>
        <v>374</v>
      </c>
      <c r="AK6" s="5">
        <f>(AJ6/(AJ3+AJ4))*100</f>
        <v>9.7624641085878352</v>
      </c>
    </row>
    <row r="7" spans="1:37" ht="18.95" customHeight="1" x14ac:dyDescent="0.3">
      <c r="A7" s="88"/>
      <c r="B7" s="90"/>
      <c r="C7" s="60" t="s">
        <v>21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8"/>
      <c r="B8" s="90"/>
      <c r="C8" s="61" t="s">
        <v>22</v>
      </c>
      <c r="D8" s="38"/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0</v>
      </c>
      <c r="AJ8" s="41">
        <f>SUM(D8,E8,F8,G8,H8,I8,J8,K8,L8,M8,N8,O8,P8,Q8,R8,S8,T8,U8,V8,W8,X8,Y8,Z8,AA8,AB8,AC8,AD8,AE8,AF8,AG8,AH8)</f>
        <v>0</v>
      </c>
      <c r="AK8" s="42">
        <f>(AJ8/(AJ3+AJ4))*100</f>
        <v>0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>
        <v>290</v>
      </c>
      <c r="AE9" s="23">
        <v>418</v>
      </c>
      <c r="AF9" s="2"/>
      <c r="AG9" s="23"/>
      <c r="AH9" s="2"/>
      <c r="AI9" s="43">
        <f t="shared" si="0"/>
        <v>22.838709677419356</v>
      </c>
      <c r="AJ9" s="32">
        <f>SUM(D9,E9,F9,G9,H9,I9,J9,K9,L9,M9,N9,O9,P9,Q9,R9,S9,T9,U9,V9,W9,X9,Y9,Z9,AA9,AB9,AC9,AD9,AE9,AF9,AG9,AH9)</f>
        <v>708</v>
      </c>
      <c r="AK9" s="3">
        <f>(AJ9/(AJ3+AJ4))*100</f>
        <v>18.480814408770556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8</v>
      </c>
      <c r="D11" s="21"/>
      <c r="E11" s="2"/>
      <c r="F11" s="2"/>
      <c r="G11" s="2"/>
      <c r="H11" s="2"/>
      <c r="I11" s="2"/>
      <c r="J11" s="22"/>
      <c r="K11" s="2"/>
      <c r="L11" s="2"/>
      <c r="M11" s="2">
        <v>8</v>
      </c>
      <c r="N11" s="2">
        <v>10</v>
      </c>
      <c r="O11" s="2"/>
      <c r="P11" s="2">
        <v>82</v>
      </c>
      <c r="Q11" s="2">
        <v>560</v>
      </c>
      <c r="R11" s="2"/>
      <c r="S11" s="2"/>
      <c r="T11" s="2"/>
      <c r="U11" s="2">
        <v>5</v>
      </c>
      <c r="V11" s="2"/>
      <c r="W11" s="2"/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21.451612903225808</v>
      </c>
      <c r="AJ11" s="32">
        <f>SUM(D11,E11,F11,G11,H11,I11,J11,K11,L11,M11,N11,O11,P11,Q11,R11,S11,T11,U11,V11,W11,X11,Y11,Z11,AA11,AB11,AC11,AD11,AE11,AF11,AG11,AH11)</f>
        <v>665</v>
      </c>
      <c r="AK11" s="3">
        <f>(AJ11/(AJ3+AJ4))*100</f>
        <v>17.358392064735057</v>
      </c>
    </row>
    <row r="12" spans="1:37" ht="18.95" customHeight="1" x14ac:dyDescent="0.3">
      <c r="A12" s="88"/>
      <c r="B12" s="91" t="s">
        <v>4</v>
      </c>
      <c r="C12" s="62" t="s">
        <v>9</v>
      </c>
      <c r="D12" s="6"/>
      <c r="E12" s="6"/>
      <c r="F12" s="6">
        <v>8</v>
      </c>
      <c r="G12" s="6"/>
      <c r="H12" s="6"/>
      <c r="I12" s="6"/>
      <c r="J12" s="2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50</v>
      </c>
      <c r="AB12" s="6"/>
      <c r="AC12" s="27"/>
      <c r="AD12" s="6"/>
      <c r="AE12" s="26"/>
      <c r="AF12" s="6"/>
      <c r="AG12" s="26"/>
      <c r="AH12" s="6"/>
      <c r="AI12" s="45">
        <f t="shared" si="0"/>
        <v>1.8709677419354838</v>
      </c>
      <c r="AJ12" s="34">
        <f>SUM(D12,E12,F12,G12,H12,I12,J12,K12,L12,M12,N12,O12,P12,Q12,R12,S12,T12,U12,V12,W12,X12,Y12,Z12,AA12,AB12,AC12,AD12,AE12,AF12,AG12,AH12)</f>
        <v>58</v>
      </c>
      <c r="AK12" s="7">
        <f>(AJ12/(AJ3+AJ4))*100</f>
        <v>1.5139650221874186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</v>
      </c>
      <c r="AJ13" s="35">
        <f t="shared" si="1"/>
        <v>0</v>
      </c>
      <c r="AK13" s="9">
        <f>(AJ13/(AJ3+AJ4))*100</f>
        <v>0</v>
      </c>
    </row>
    <row r="14" spans="1:37" ht="18.95" customHeight="1" x14ac:dyDescent="0.3">
      <c r="A14" s="88"/>
      <c r="B14" s="92"/>
      <c r="C14" s="56" t="s">
        <v>28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0</v>
      </c>
      <c r="AJ14" s="34">
        <f t="shared" si="1"/>
        <v>0</v>
      </c>
      <c r="AK14" s="7">
        <f>(AJ14/(AJ3+AJ4))*100</f>
        <v>0</v>
      </c>
    </row>
    <row r="15" spans="1:37" ht="18.95" customHeight="1" x14ac:dyDescent="0.3">
      <c r="A15" s="88"/>
      <c r="B15" s="93"/>
      <c r="C15" s="62" t="s">
        <v>4</v>
      </c>
      <c r="D15" s="51"/>
      <c r="E15" s="51"/>
      <c r="F15" s="51">
        <v>80</v>
      </c>
      <c r="G15" s="51">
        <v>60</v>
      </c>
      <c r="H15" s="51">
        <v>25</v>
      </c>
      <c r="I15" s="51"/>
      <c r="J15" s="50"/>
      <c r="K15" s="51"/>
      <c r="L15" s="51">
        <v>145</v>
      </c>
      <c r="M15" s="51"/>
      <c r="N15" s="51"/>
      <c r="O15" s="51">
        <v>75</v>
      </c>
      <c r="P15" s="51"/>
      <c r="Q15" s="51"/>
      <c r="R15" s="51">
        <v>100</v>
      </c>
      <c r="S15" s="51"/>
      <c r="T15" s="51"/>
      <c r="U15" s="51">
        <v>100</v>
      </c>
      <c r="V15" s="51">
        <v>40</v>
      </c>
      <c r="W15" s="51"/>
      <c r="X15" s="51"/>
      <c r="Y15" s="51">
        <v>130</v>
      </c>
      <c r="Z15" s="51"/>
      <c r="AA15" s="51">
        <v>20</v>
      </c>
      <c r="AB15" s="51"/>
      <c r="AC15" s="52">
        <v>75</v>
      </c>
      <c r="AD15" s="51"/>
      <c r="AE15" s="50"/>
      <c r="AF15" s="51"/>
      <c r="AG15" s="50">
        <v>75</v>
      </c>
      <c r="AH15" s="51"/>
      <c r="AI15" s="45">
        <f t="shared" si="0"/>
        <v>29.838709677419356</v>
      </c>
      <c r="AJ15" s="34">
        <f>SUM(D15,E15,F15,G15,H15,I15,J15,K15,L15,M15,N15,O15,P15,Q15,R15,S15,T15,U15,V15,W15,X15,Y15,Z15,AA15,AB15,AC15,AD15,AE15,AF15,AG15,AH15)</f>
        <v>925</v>
      </c>
      <c r="AK15" s="7">
        <f>(AJ15/(AJ3+AJ4))*100</f>
        <v>24.145131819368313</v>
      </c>
    </row>
    <row r="16" spans="1:37" ht="18.399999999999999" customHeight="1" x14ac:dyDescent="0.3">
      <c r="A16" s="89"/>
      <c r="B16" s="80" t="s">
        <v>10</v>
      </c>
      <c r="C16" s="81"/>
      <c r="D16" s="80">
        <f>SUM(D5:H15)+64</f>
        <v>343</v>
      </c>
      <c r="E16" s="81"/>
      <c r="F16" s="81"/>
      <c r="G16" s="81"/>
      <c r="H16" s="82"/>
      <c r="I16" s="80">
        <f>SUM(I5:O15)</f>
        <v>388</v>
      </c>
      <c r="J16" s="81"/>
      <c r="K16" s="81"/>
      <c r="L16" s="81"/>
      <c r="M16" s="81"/>
      <c r="N16" s="81"/>
      <c r="O16" s="82"/>
      <c r="P16" s="80">
        <f>SUM(P5:V15)</f>
        <v>999</v>
      </c>
      <c r="Q16" s="81"/>
      <c r="R16" s="81"/>
      <c r="S16" s="81"/>
      <c r="T16" s="81"/>
      <c r="U16" s="81"/>
      <c r="V16" s="82"/>
      <c r="W16" s="80">
        <f>SUM(W5:AC15)</f>
        <v>389</v>
      </c>
      <c r="X16" s="81"/>
      <c r="Y16" s="81"/>
      <c r="Z16" s="81"/>
      <c r="AA16" s="81"/>
      <c r="AB16" s="81"/>
      <c r="AC16" s="82"/>
      <c r="AD16" s="80">
        <f>SUM(AD5:AG15)</f>
        <v>890</v>
      </c>
      <c r="AE16" s="81"/>
      <c r="AF16" s="81"/>
      <c r="AG16" s="82"/>
      <c r="AH16" s="66"/>
      <c r="AI16" s="53">
        <f t="shared" si="0"/>
        <v>95</v>
      </c>
      <c r="AJ16" s="49">
        <f>SUM(AJ5,AJ6,AJ7,AJ8,AJ9,AJ10,AJ11,AJ12,AJ13,AJ14,AJ15)</f>
        <v>2945</v>
      </c>
      <c r="AK16" s="10">
        <f>SUM(AK5,AK6,AK7,AK8,AK9,AK10,AK11,AK12,AK13,AK14,AK15)</f>
        <v>76.87287914382668</v>
      </c>
    </row>
    <row r="17" spans="1:37" ht="18" customHeight="1" x14ac:dyDescent="0.3">
      <c r="A17" s="114" t="s">
        <v>26</v>
      </c>
      <c r="B17" s="114"/>
      <c r="C17" s="115"/>
      <c r="D17" s="116">
        <v>3288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0"/>
    </row>
    <row r="18" spans="1:37" ht="18" customHeight="1" x14ac:dyDescent="0.3">
      <c r="A18" s="109" t="s">
        <v>20</v>
      </c>
      <c r="B18" s="109"/>
      <c r="C18" s="110"/>
      <c r="D18" s="120">
        <f>((AJ3+AJ4+D17)-AJ16)-D17</f>
        <v>886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23.12712085617332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4174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2">
    <mergeCell ref="A1:C2"/>
    <mergeCell ref="AI1:AI2"/>
    <mergeCell ref="AJ1:AJ2"/>
    <mergeCell ref="AK1:AK2"/>
    <mergeCell ref="A3:B4"/>
    <mergeCell ref="AI3:AI4"/>
    <mergeCell ref="AK3:AK4"/>
    <mergeCell ref="A19:C19"/>
    <mergeCell ref="D19:AJ19"/>
    <mergeCell ref="D16:H16"/>
    <mergeCell ref="I16:O16"/>
    <mergeCell ref="P16:V16"/>
    <mergeCell ref="W16:AC16"/>
    <mergeCell ref="AD16:AG16"/>
    <mergeCell ref="A17:C17"/>
    <mergeCell ref="D17:AJ17"/>
    <mergeCell ref="A18:C18"/>
    <mergeCell ref="D18:AJ18"/>
    <mergeCell ref="A5:A16"/>
    <mergeCell ref="B5:B11"/>
    <mergeCell ref="B12:B15"/>
    <mergeCell ref="B16:C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13</v>
      </c>
      <c r="E1" s="36" t="s">
        <v>12</v>
      </c>
      <c r="F1" s="37" t="s">
        <v>11</v>
      </c>
      <c r="G1" s="55" t="s">
        <v>17</v>
      </c>
      <c r="H1" s="36" t="s">
        <v>16</v>
      </c>
      <c r="I1" s="37" t="s">
        <v>15</v>
      </c>
      <c r="J1" s="36" t="s">
        <v>14</v>
      </c>
      <c r="K1" s="36" t="s">
        <v>13</v>
      </c>
      <c r="L1" s="36" t="s">
        <v>12</v>
      </c>
      <c r="M1" s="37" t="s">
        <v>11</v>
      </c>
      <c r="N1" s="55" t="s">
        <v>17</v>
      </c>
      <c r="O1" s="36" t="s">
        <v>16</v>
      </c>
      <c r="P1" s="37" t="s">
        <v>15</v>
      </c>
      <c r="Q1" s="36" t="s">
        <v>14</v>
      </c>
      <c r="R1" s="36" t="s">
        <v>13</v>
      </c>
      <c r="S1" s="36" t="s">
        <v>12</v>
      </c>
      <c r="T1" s="37" t="s">
        <v>11</v>
      </c>
      <c r="U1" s="55" t="s">
        <v>17</v>
      </c>
      <c r="V1" s="36" t="s">
        <v>16</v>
      </c>
      <c r="W1" s="37" t="s">
        <v>15</v>
      </c>
      <c r="X1" s="36" t="s">
        <v>14</v>
      </c>
      <c r="Y1" s="36" t="s">
        <v>13</v>
      </c>
      <c r="Z1" s="36" t="s">
        <v>12</v>
      </c>
      <c r="AA1" s="37" t="s">
        <v>11</v>
      </c>
      <c r="AB1" s="55" t="s">
        <v>17</v>
      </c>
      <c r="AC1" s="36" t="s">
        <v>16</v>
      </c>
      <c r="AD1" s="37" t="s">
        <v>15</v>
      </c>
      <c r="AE1" s="36" t="s">
        <v>14</v>
      </c>
      <c r="AF1" s="36" t="s">
        <v>13</v>
      </c>
      <c r="AG1" s="36" t="s">
        <v>12</v>
      </c>
      <c r="AH1" s="37" t="s">
        <v>11</v>
      </c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>
        <v>511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>
        <v>880</v>
      </c>
      <c r="Y3" s="15"/>
      <c r="Z3" s="15"/>
      <c r="AA3" s="15"/>
      <c r="AB3" s="15"/>
      <c r="AC3" s="14"/>
      <c r="AD3" s="15">
        <v>503</v>
      </c>
      <c r="AE3" s="17"/>
      <c r="AF3" s="15"/>
      <c r="AG3" s="17"/>
      <c r="AH3" s="15"/>
      <c r="AI3" s="104">
        <f>(AJ3+AJ4)/31</f>
        <v>65.354838709677423</v>
      </c>
      <c r="AJ3" s="48">
        <f>SUM(D3:AH3)</f>
        <v>1894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/>
      <c r="E4" s="18"/>
      <c r="F4" s="18">
        <v>4</v>
      </c>
      <c r="G4" s="18"/>
      <c r="H4" s="18"/>
      <c r="I4" s="18"/>
      <c r="J4" s="19">
        <v>4</v>
      </c>
      <c r="K4" s="18">
        <v>2</v>
      </c>
      <c r="L4" s="18"/>
      <c r="M4" s="18"/>
      <c r="N4" s="18">
        <v>2</v>
      </c>
      <c r="O4" s="18"/>
      <c r="P4" s="18">
        <v>5</v>
      </c>
      <c r="Q4" s="18">
        <v>6</v>
      </c>
      <c r="R4" s="18">
        <v>48</v>
      </c>
      <c r="S4" s="18"/>
      <c r="T4" s="18">
        <v>5</v>
      </c>
      <c r="U4" s="18"/>
      <c r="V4" s="18"/>
      <c r="W4" s="18"/>
      <c r="X4" s="18">
        <v>6</v>
      </c>
      <c r="Y4" s="18"/>
      <c r="Z4" s="18"/>
      <c r="AA4" s="18">
        <v>50</v>
      </c>
      <c r="AB4" s="18"/>
      <c r="AC4" s="20"/>
      <c r="AD4" s="18"/>
      <c r="AE4" s="19"/>
      <c r="AF4" s="18"/>
      <c r="AG4" s="19"/>
      <c r="AH4" s="18"/>
      <c r="AI4" s="105"/>
      <c r="AJ4" s="48">
        <f>SUM(D4:AH4)</f>
        <v>132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>
        <v>4</v>
      </c>
      <c r="E5" s="2"/>
      <c r="F5" s="2"/>
      <c r="G5" s="2">
        <v>16</v>
      </c>
      <c r="H5" s="2"/>
      <c r="I5" s="2"/>
      <c r="J5" s="22">
        <v>10</v>
      </c>
      <c r="K5" s="2"/>
      <c r="L5" s="2"/>
      <c r="M5" s="2"/>
      <c r="N5" s="2"/>
      <c r="O5" s="2"/>
      <c r="P5" s="2"/>
      <c r="Q5" s="2"/>
      <c r="R5" s="2">
        <v>7</v>
      </c>
      <c r="S5" s="2">
        <v>10</v>
      </c>
      <c r="T5" s="2"/>
      <c r="U5" s="2">
        <v>7</v>
      </c>
      <c r="V5" s="2"/>
      <c r="W5" s="2">
        <v>4</v>
      </c>
      <c r="X5" s="2">
        <v>11</v>
      </c>
      <c r="Y5" s="2"/>
      <c r="Z5" s="2"/>
      <c r="AA5" s="2">
        <v>7</v>
      </c>
      <c r="AB5" s="2"/>
      <c r="AC5" s="21">
        <v>4</v>
      </c>
      <c r="AD5" s="2"/>
      <c r="AE5" s="23">
        <v>4</v>
      </c>
      <c r="AF5" s="2"/>
      <c r="AG5" s="23"/>
      <c r="AH5" s="2"/>
      <c r="AI5" s="43">
        <f t="shared" ref="AI5:AI16" si="0">AJ5/31</f>
        <v>2.7096774193548385</v>
      </c>
      <c r="AJ5" s="32">
        <f>SUM(D5,E5,F5,G5,H5,I5,J5,K5,L5,M5,N5,O5,P5,Q5,R5,S5,T5,U5,V5,W5,X5,Y5,Z5,AA5,AB5,AC5,AD5,AE5,AF5,AG5,AH5)</f>
        <v>84</v>
      </c>
      <c r="AK5" s="3">
        <f>(AJ5/(AJ3+AJ4))*100</f>
        <v>4.1461006910167821</v>
      </c>
    </row>
    <row r="6" spans="1:37" ht="18.95" customHeight="1" x14ac:dyDescent="0.3">
      <c r="A6" s="88"/>
      <c r="B6" s="90"/>
      <c r="C6" s="60" t="s">
        <v>6</v>
      </c>
      <c r="D6" s="4"/>
      <c r="E6" s="4"/>
      <c r="F6" s="4"/>
      <c r="G6" s="4">
        <v>33</v>
      </c>
      <c r="H6" s="4">
        <v>24</v>
      </c>
      <c r="I6" s="4">
        <v>31</v>
      </c>
      <c r="J6" s="24">
        <v>36</v>
      </c>
      <c r="K6" s="4"/>
      <c r="L6" s="4"/>
      <c r="M6" s="4"/>
      <c r="N6" s="4"/>
      <c r="O6" s="4"/>
      <c r="P6" s="4"/>
      <c r="Q6" s="4"/>
      <c r="R6" s="4"/>
      <c r="S6" s="4"/>
      <c r="T6" s="4"/>
      <c r="U6" s="4">
        <v>36</v>
      </c>
      <c r="V6" s="4">
        <v>28</v>
      </c>
      <c r="W6" s="4">
        <v>6</v>
      </c>
      <c r="X6" s="4">
        <v>33</v>
      </c>
      <c r="Y6" s="4">
        <v>4</v>
      </c>
      <c r="Z6" s="4">
        <v>4</v>
      </c>
      <c r="AA6" s="4"/>
      <c r="AB6" s="4">
        <v>33</v>
      </c>
      <c r="AC6" s="25"/>
      <c r="AD6" s="4">
        <v>24</v>
      </c>
      <c r="AE6" s="24"/>
      <c r="AF6" s="4">
        <v>37</v>
      </c>
      <c r="AG6" s="24"/>
      <c r="AH6" s="4"/>
      <c r="AI6" s="44">
        <f t="shared" si="0"/>
        <v>10.612903225806452</v>
      </c>
      <c r="AJ6" s="33">
        <f>SUM(D6,E6,F6,G6,H6,I6,J6,K6,L6,M6,N6,O6,P6,Q6,R6,S6,T6,U6,V6,W6,X6,Y6,Z6,AA6,AB6,AC6,AD6,AE6,AF6,AG6,AH6)</f>
        <v>329</v>
      </c>
      <c r="AK6" s="5">
        <f>(AJ6/(AJ3+AJ4))*100</f>
        <v>16.238894373149062</v>
      </c>
    </row>
    <row r="7" spans="1:37" ht="18.95" customHeight="1" x14ac:dyDescent="0.3">
      <c r="A7" s="88"/>
      <c r="B7" s="90"/>
      <c r="C7" s="60" t="s">
        <v>21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8"/>
      <c r="B8" s="90"/>
      <c r="C8" s="61" t="s">
        <v>22</v>
      </c>
      <c r="D8" s="38"/>
      <c r="E8" s="39"/>
      <c r="F8" s="39"/>
      <c r="G8" s="39"/>
      <c r="H8" s="39"/>
      <c r="I8" s="39"/>
      <c r="J8" s="40">
        <v>5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>
        <v>79</v>
      </c>
      <c r="Z8" s="39"/>
      <c r="AA8" s="39"/>
      <c r="AB8" s="39"/>
      <c r="AC8" s="38">
        <v>33</v>
      </c>
      <c r="AD8" s="39"/>
      <c r="AE8" s="40"/>
      <c r="AF8" s="39"/>
      <c r="AG8" s="40"/>
      <c r="AH8" s="39"/>
      <c r="AI8" s="47">
        <f t="shared" si="0"/>
        <v>3.774193548387097</v>
      </c>
      <c r="AJ8" s="41">
        <f>SUM(D8,E8,F8,G8,H8,I8,J8,K8,L8,M8,N8,O8,P8,Q8,R8,S8,T8,U8,V8,W8,X8,Y8,Z8,AA8,AB8,AC8,AD8,AE8,AF8,AG8,AH8)</f>
        <v>117</v>
      </c>
      <c r="AK8" s="42">
        <f>(AJ8/(AJ3+AJ4))*100</f>
        <v>5.7749259624876608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>
        <v>100</v>
      </c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3.225806451612903</v>
      </c>
      <c r="AJ9" s="32">
        <f>SUM(D9,E9,F9,G9,H9,I9,J9,K9,L9,M9,N9,O9,P9,Q9,R9,S9,T9,U9,V9,W9,X9,Y9,Z9,AA9,AB9,AC9,AD9,AE9,AF9,AG9,AH9)</f>
        <v>100</v>
      </c>
      <c r="AK9" s="3">
        <f>(AJ9/(AJ3+AJ4))*100</f>
        <v>4.9358341559723593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/>
      <c r="H10" s="4"/>
      <c r="I10" s="4"/>
      <c r="J10" s="24">
        <v>15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0.4838709677419355</v>
      </c>
      <c r="AJ10" s="33">
        <f t="shared" ref="AJ10:AJ14" si="1">SUM(D10,E10,F10,G10,H10,I10,J10,K10,L10,M10,N10,O10,P10,Q10,R10,S10,T10,U10,V10,W10,X10,Y10,Z10,AA10,AB10,AC10,AD10,AE10,AF10,AG10,AH10)</f>
        <v>15</v>
      </c>
      <c r="AK10" s="5">
        <f>(AJ10/(AJ3+AJ4))*100</f>
        <v>0.74037512339585387</v>
      </c>
    </row>
    <row r="11" spans="1:37" ht="18.95" customHeight="1" x14ac:dyDescent="0.3">
      <c r="A11" s="88"/>
      <c r="B11" s="90"/>
      <c r="C11" s="60" t="s">
        <v>8</v>
      </c>
      <c r="D11" s="21"/>
      <c r="E11" s="2"/>
      <c r="F11" s="2"/>
      <c r="G11" s="2"/>
      <c r="H11" s="2"/>
      <c r="I11" s="2">
        <v>90</v>
      </c>
      <c r="J11" s="22"/>
      <c r="K11" s="2"/>
      <c r="L11" s="2"/>
      <c r="M11" s="2">
        <v>100</v>
      </c>
      <c r="N11" s="2"/>
      <c r="O11" s="2"/>
      <c r="P11" s="2">
        <v>27</v>
      </c>
      <c r="Q11" s="2"/>
      <c r="R11" s="2"/>
      <c r="S11" s="2"/>
      <c r="T11" s="2"/>
      <c r="U11" s="2"/>
      <c r="V11" s="2"/>
      <c r="W11" s="2">
        <v>98</v>
      </c>
      <c r="X11" s="2"/>
      <c r="Y11" s="2"/>
      <c r="Z11" s="2">
        <v>2</v>
      </c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10.225806451612904</v>
      </c>
      <c r="AJ11" s="32">
        <f>SUM(D11,E11,F11,G11,H11,I11,J11,K11,L11,M11,N11,O11,P11,Q11,R11,S11,T11,U11,V11,W11,X11,Y11,Z11,AA11,AB11,AC11,AD11,AE11,AF11,AG11,AH11)</f>
        <v>317</v>
      </c>
      <c r="AK11" s="3">
        <f>(AJ11/(AJ3+AJ4))*100</f>
        <v>15.646594274432379</v>
      </c>
    </row>
    <row r="12" spans="1:37" ht="18.95" customHeight="1" x14ac:dyDescent="0.3">
      <c r="A12" s="88"/>
      <c r="B12" s="91" t="s">
        <v>4</v>
      </c>
      <c r="C12" s="62" t="s">
        <v>9</v>
      </c>
      <c r="D12" s="6"/>
      <c r="E12" s="6"/>
      <c r="F12" s="6"/>
      <c r="G12" s="6"/>
      <c r="H12" s="6"/>
      <c r="I12" s="6"/>
      <c r="J12" s="2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29</v>
      </c>
      <c r="Z12" s="6">
        <v>20</v>
      </c>
      <c r="AA12" s="6"/>
      <c r="AB12" s="6"/>
      <c r="AC12" s="27"/>
      <c r="AD12" s="6"/>
      <c r="AE12" s="26"/>
      <c r="AF12" s="6"/>
      <c r="AG12" s="26"/>
      <c r="AH12" s="6"/>
      <c r="AI12" s="45">
        <f t="shared" si="0"/>
        <v>1.5806451612903225</v>
      </c>
      <c r="AJ12" s="34">
        <f>SUM(D12,E12,F12,G12,H12,I12,J12,K12,L12,M12,N12,O12,P12,Q12,R12,S12,T12,U12,V12,W12,X12,Y12,Z12,AA12,AB12,AC12,AD12,AE12,AF12,AG12,AH12)</f>
        <v>49</v>
      </c>
      <c r="AK12" s="7">
        <f>(AJ12/(AJ3+AJ4))*100</f>
        <v>2.4185587364264562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</v>
      </c>
      <c r="AJ13" s="35">
        <f t="shared" si="1"/>
        <v>0</v>
      </c>
      <c r="AK13" s="9">
        <f>(AJ13/(AJ3+AJ4))*100</f>
        <v>0</v>
      </c>
    </row>
    <row r="14" spans="1:37" ht="18.95" customHeight="1" x14ac:dyDescent="0.3">
      <c r="A14" s="88"/>
      <c r="B14" s="92"/>
      <c r="C14" s="56" t="s">
        <v>28</v>
      </c>
      <c r="D14" s="6"/>
      <c r="E14" s="6"/>
      <c r="F14" s="6"/>
      <c r="G14" s="6"/>
      <c r="H14" s="6"/>
      <c r="I14" s="6"/>
      <c r="J14" s="26"/>
      <c r="K14" s="6"/>
      <c r="L14" s="6"/>
      <c r="M14" s="6">
        <v>60</v>
      </c>
      <c r="N14" s="6"/>
      <c r="O14" s="6"/>
      <c r="P14" s="6"/>
      <c r="Q14" s="6"/>
      <c r="R14" s="6"/>
      <c r="S14" s="6"/>
      <c r="T14" s="6">
        <v>50</v>
      </c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>
        <v>9</v>
      </c>
      <c r="AI14" s="45">
        <f t="shared" si="0"/>
        <v>3.838709677419355</v>
      </c>
      <c r="AJ14" s="34">
        <f t="shared" si="1"/>
        <v>119</v>
      </c>
      <c r="AK14" s="7">
        <f>(AJ14/(AJ3+AJ4))*100</f>
        <v>5.8736426456071076</v>
      </c>
    </row>
    <row r="15" spans="1:37" ht="18.95" customHeight="1" x14ac:dyDescent="0.3">
      <c r="A15" s="88"/>
      <c r="B15" s="93"/>
      <c r="C15" s="62" t="s">
        <v>4</v>
      </c>
      <c r="D15" s="51">
        <v>20</v>
      </c>
      <c r="E15" s="51">
        <v>80</v>
      </c>
      <c r="F15" s="51"/>
      <c r="G15" s="51"/>
      <c r="H15" s="51"/>
      <c r="I15" s="51"/>
      <c r="J15" s="50">
        <v>150</v>
      </c>
      <c r="K15" s="51"/>
      <c r="L15" s="51">
        <v>25</v>
      </c>
      <c r="M15" s="51">
        <v>150</v>
      </c>
      <c r="N15" s="51">
        <v>120</v>
      </c>
      <c r="O15" s="51"/>
      <c r="P15" s="51"/>
      <c r="Q15" s="51"/>
      <c r="R15" s="51">
        <v>150</v>
      </c>
      <c r="S15" s="51"/>
      <c r="T15" s="51"/>
      <c r="U15" s="51"/>
      <c r="V15" s="51"/>
      <c r="W15" s="51"/>
      <c r="X15" s="51">
        <v>150</v>
      </c>
      <c r="Y15" s="51"/>
      <c r="Z15" s="51">
        <v>55</v>
      </c>
      <c r="AA15" s="51">
        <v>75</v>
      </c>
      <c r="AB15" s="51"/>
      <c r="AC15" s="52"/>
      <c r="AD15" s="51"/>
      <c r="AE15" s="50"/>
      <c r="AF15" s="51"/>
      <c r="AG15" s="50"/>
      <c r="AH15" s="51"/>
      <c r="AI15" s="45">
        <f t="shared" si="0"/>
        <v>31.451612903225808</v>
      </c>
      <c r="AJ15" s="34">
        <f>SUM(D15,E15,F15,G15,H15,I15,J15,K15,L15,M15,N15,O15,P15,Q15,R15,S15,T15,U15,V15,W15,X15,Y15,Z15,AA15,AB15,AC15,AD15,AE15,AF15,AG15,AH15)</f>
        <v>975</v>
      </c>
      <c r="AK15" s="7">
        <f>(AJ15/(AJ3+AJ4))*100</f>
        <v>48.124383020730505</v>
      </c>
    </row>
    <row r="16" spans="1:37" ht="18.399999999999999" customHeight="1" x14ac:dyDescent="0.3">
      <c r="A16" s="89"/>
      <c r="B16" s="80" t="s">
        <v>10</v>
      </c>
      <c r="C16" s="81"/>
      <c r="D16" s="80">
        <f>SUM(D5:F15)+890</f>
        <v>994</v>
      </c>
      <c r="E16" s="81"/>
      <c r="F16" s="82"/>
      <c r="G16" s="80">
        <f>SUM(G5:M15)</f>
        <v>845</v>
      </c>
      <c r="H16" s="81"/>
      <c r="I16" s="81"/>
      <c r="J16" s="81"/>
      <c r="K16" s="81"/>
      <c r="L16" s="81"/>
      <c r="M16" s="82"/>
      <c r="N16" s="80">
        <f>SUM(N5:T15)</f>
        <v>364</v>
      </c>
      <c r="O16" s="81"/>
      <c r="P16" s="81"/>
      <c r="Q16" s="81"/>
      <c r="R16" s="81"/>
      <c r="S16" s="81"/>
      <c r="T16" s="82"/>
      <c r="U16" s="80">
        <f>SUM(U5:AA15)</f>
        <v>648</v>
      </c>
      <c r="V16" s="81"/>
      <c r="W16" s="81"/>
      <c r="X16" s="81"/>
      <c r="Y16" s="81"/>
      <c r="Z16" s="81"/>
      <c r="AA16" s="82"/>
      <c r="AB16" s="80">
        <f>SUM(AB5:AH15)</f>
        <v>144</v>
      </c>
      <c r="AC16" s="81"/>
      <c r="AD16" s="81"/>
      <c r="AE16" s="81"/>
      <c r="AF16" s="81"/>
      <c r="AG16" s="81"/>
      <c r="AH16" s="82"/>
      <c r="AI16" s="53">
        <f t="shared" si="0"/>
        <v>67.903225806451616</v>
      </c>
      <c r="AJ16" s="49">
        <f>SUM(AJ5,AJ6,AJ7,AJ8,AJ9,AJ10,AJ11,AJ12,AJ13,AJ14,AJ15)</f>
        <v>2105</v>
      </c>
      <c r="AK16" s="10">
        <f>SUM(AK5,AK6,AK7,AK8,AK9,AK10,AK11,AK12,AK13,AK14,AK15)</f>
        <v>103.89930898321816</v>
      </c>
    </row>
    <row r="17" spans="1:37" ht="18" customHeight="1" x14ac:dyDescent="0.3">
      <c r="A17" s="114" t="s">
        <v>26</v>
      </c>
      <c r="B17" s="114"/>
      <c r="C17" s="115"/>
      <c r="D17" s="116">
        <v>4174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1"/>
    </row>
    <row r="18" spans="1:37" ht="18" customHeight="1" x14ac:dyDescent="0.3">
      <c r="A18" s="109" t="s">
        <v>20</v>
      </c>
      <c r="B18" s="109"/>
      <c r="C18" s="110"/>
      <c r="D18" s="120">
        <f>((AJ3+AJ4+D17)-AJ16)-D17</f>
        <v>-79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-3.8993089832181638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4095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2">
    <mergeCell ref="A19:C19"/>
    <mergeCell ref="D19:AJ19"/>
    <mergeCell ref="D16:F16"/>
    <mergeCell ref="G16:M16"/>
    <mergeCell ref="N16:T16"/>
    <mergeCell ref="U16:AA16"/>
    <mergeCell ref="AB16:AH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55" t="s">
        <v>17</v>
      </c>
      <c r="E1" s="36" t="s">
        <v>16</v>
      </c>
      <c r="F1" s="37" t="s">
        <v>15</v>
      </c>
      <c r="G1" s="36" t="s">
        <v>14</v>
      </c>
      <c r="H1" s="36" t="s">
        <v>13</v>
      </c>
      <c r="I1" s="36" t="s">
        <v>12</v>
      </c>
      <c r="J1" s="37" t="s">
        <v>11</v>
      </c>
      <c r="K1" s="55" t="s">
        <v>17</v>
      </c>
      <c r="L1" s="36" t="s">
        <v>16</v>
      </c>
      <c r="M1" s="37" t="s">
        <v>15</v>
      </c>
      <c r="N1" s="36" t="s">
        <v>14</v>
      </c>
      <c r="O1" s="36" t="s">
        <v>13</v>
      </c>
      <c r="P1" s="36" t="s">
        <v>12</v>
      </c>
      <c r="Q1" s="37" t="s">
        <v>11</v>
      </c>
      <c r="R1" s="55" t="s">
        <v>17</v>
      </c>
      <c r="S1" s="36" t="s">
        <v>16</v>
      </c>
      <c r="T1" s="37" t="s">
        <v>15</v>
      </c>
      <c r="U1" s="36" t="s">
        <v>14</v>
      </c>
      <c r="V1" s="36" t="s">
        <v>13</v>
      </c>
      <c r="W1" s="36" t="s">
        <v>12</v>
      </c>
      <c r="X1" s="37" t="s">
        <v>11</v>
      </c>
      <c r="Y1" s="55" t="s">
        <v>17</v>
      </c>
      <c r="Z1" s="36" t="s">
        <v>16</v>
      </c>
      <c r="AA1" s="37" t="s">
        <v>15</v>
      </c>
      <c r="AB1" s="36" t="s">
        <v>14</v>
      </c>
      <c r="AC1" s="36" t="s">
        <v>13</v>
      </c>
      <c r="AD1" s="36" t="s">
        <v>12</v>
      </c>
      <c r="AE1" s="37" t="s">
        <v>11</v>
      </c>
      <c r="AF1" s="55" t="s">
        <v>17</v>
      </c>
      <c r="AG1" s="36" t="s">
        <v>16</v>
      </c>
      <c r="AH1" s="37"/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>
        <v>1575</v>
      </c>
      <c r="G3" s="15"/>
      <c r="H3" s="15"/>
      <c r="I3" s="18"/>
      <c r="J3" s="16"/>
      <c r="K3" s="15"/>
      <c r="L3" s="15">
        <v>800</v>
      </c>
      <c r="M3" s="15"/>
      <c r="N3" s="15"/>
      <c r="O3" s="15"/>
      <c r="P3" s="15"/>
      <c r="Q3" s="15"/>
      <c r="R3" s="15"/>
      <c r="S3" s="15"/>
      <c r="T3" s="15"/>
      <c r="U3" s="15"/>
      <c r="V3" s="15">
        <v>710</v>
      </c>
      <c r="W3" s="15"/>
      <c r="X3" s="15"/>
      <c r="Y3" s="15"/>
      <c r="Z3" s="15"/>
      <c r="AA3" s="15">
        <v>2000</v>
      </c>
      <c r="AB3" s="15"/>
      <c r="AC3" s="14"/>
      <c r="AD3" s="15"/>
      <c r="AE3" s="17"/>
      <c r="AF3" s="15"/>
      <c r="AG3" s="17"/>
      <c r="AH3" s="15"/>
      <c r="AI3" s="104">
        <f>(AJ3+AJ4)/31</f>
        <v>171.7741935483871</v>
      </c>
      <c r="AJ3" s="48">
        <f>SUM(D3:AH3)</f>
        <v>5085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/>
      <c r="E4" s="18"/>
      <c r="F4" s="18"/>
      <c r="G4" s="18"/>
      <c r="H4" s="18"/>
      <c r="I4" s="18">
        <v>5</v>
      </c>
      <c r="J4" s="19">
        <v>50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>
        <v>30</v>
      </c>
      <c r="V4" s="18"/>
      <c r="W4" s="18"/>
      <c r="X4" s="18"/>
      <c r="Y4" s="18"/>
      <c r="Z4" s="18"/>
      <c r="AA4" s="18">
        <v>150</v>
      </c>
      <c r="AB4" s="18">
        <v>5</v>
      </c>
      <c r="AC4" s="20"/>
      <c r="AD4" s="18"/>
      <c r="AE4" s="19"/>
      <c r="AF4" s="18"/>
      <c r="AG4" s="19"/>
      <c r="AH4" s="18"/>
      <c r="AI4" s="105"/>
      <c r="AJ4" s="48">
        <f>SUM(D4:AH4)</f>
        <v>240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/>
      <c r="E5" s="2">
        <v>42</v>
      </c>
      <c r="F5" s="2">
        <v>4</v>
      </c>
      <c r="G5" s="2"/>
      <c r="H5" s="2">
        <v>7</v>
      </c>
      <c r="I5" s="2"/>
      <c r="J5" s="22">
        <v>7</v>
      </c>
      <c r="K5" s="2"/>
      <c r="L5" s="2">
        <v>8</v>
      </c>
      <c r="M5" s="2"/>
      <c r="N5" s="2"/>
      <c r="O5" s="2"/>
      <c r="P5" s="2"/>
      <c r="Q5" s="2"/>
      <c r="R5" s="2"/>
      <c r="S5" s="2">
        <v>33</v>
      </c>
      <c r="T5" s="2">
        <v>9</v>
      </c>
      <c r="U5" s="2">
        <v>8</v>
      </c>
      <c r="V5" s="2"/>
      <c r="W5" s="2">
        <v>10</v>
      </c>
      <c r="X5" s="2"/>
      <c r="Y5" s="2">
        <v>36</v>
      </c>
      <c r="Z5" s="2"/>
      <c r="AA5" s="2"/>
      <c r="AB5" s="2"/>
      <c r="AC5" s="21"/>
      <c r="AD5" s="2"/>
      <c r="AE5" s="23">
        <v>27</v>
      </c>
      <c r="AF5" s="2">
        <v>36</v>
      </c>
      <c r="AG5" s="23">
        <v>24</v>
      </c>
      <c r="AH5" s="2"/>
      <c r="AI5" s="43">
        <f t="shared" ref="AI5:AI16" si="0">AJ5/31</f>
        <v>8.0967741935483879</v>
      </c>
      <c r="AJ5" s="32">
        <f>SUM(D5,E5,F5,G5,H5,I5,J5,K5,L5,M5,N5,O5,P5,Q5,R5,S5,T5,U5,V5,W5,X5,Y5,Z5,AA5,AB5,AC5,AD5,AE5,AF5,AG5,AH5)</f>
        <v>251</v>
      </c>
      <c r="AK5" s="3">
        <f>(AJ5/(AJ3+AJ4))*100</f>
        <v>4.713615023474178</v>
      </c>
    </row>
    <row r="6" spans="1:37" ht="18.95" customHeight="1" x14ac:dyDescent="0.3">
      <c r="A6" s="88"/>
      <c r="B6" s="90"/>
      <c r="C6" s="60" t="s">
        <v>6</v>
      </c>
      <c r="D6" s="4"/>
      <c r="E6" s="4">
        <v>36</v>
      </c>
      <c r="F6" s="4">
        <v>24</v>
      </c>
      <c r="G6" s="4">
        <v>15</v>
      </c>
      <c r="H6" s="4"/>
      <c r="I6" s="4"/>
      <c r="J6" s="24">
        <v>33</v>
      </c>
      <c r="K6" s="4">
        <v>6</v>
      </c>
      <c r="L6" s="4">
        <v>6</v>
      </c>
      <c r="M6" s="4">
        <v>12</v>
      </c>
      <c r="N6" s="4">
        <v>51</v>
      </c>
      <c r="O6" s="4"/>
      <c r="P6" s="4"/>
      <c r="Q6" s="4">
        <v>48</v>
      </c>
      <c r="R6" s="4">
        <v>6</v>
      </c>
      <c r="S6" s="4"/>
      <c r="T6" s="4">
        <v>6</v>
      </c>
      <c r="U6" s="4">
        <v>33</v>
      </c>
      <c r="V6" s="4">
        <v>39</v>
      </c>
      <c r="W6" s="4">
        <v>3</v>
      </c>
      <c r="X6" s="4"/>
      <c r="Y6" s="4">
        <v>15</v>
      </c>
      <c r="Z6" s="4">
        <v>6</v>
      </c>
      <c r="AA6" s="4">
        <v>34</v>
      </c>
      <c r="AB6" s="4">
        <v>33</v>
      </c>
      <c r="AC6" s="25"/>
      <c r="AD6" s="4">
        <v>33</v>
      </c>
      <c r="AE6" s="24">
        <v>6</v>
      </c>
      <c r="AF6" s="4">
        <v>27</v>
      </c>
      <c r="AG6" s="24">
        <v>18</v>
      </c>
      <c r="AH6" s="4"/>
      <c r="AI6" s="44">
        <f t="shared" si="0"/>
        <v>15.806451612903226</v>
      </c>
      <c r="AJ6" s="33">
        <f>SUM(D6,E6,F6,G6,H6,I6,J6,K6,L6,M6,N6,O6,P6,Q6,R6,S6,T6,U6,V6,W6,X6,Y6,Z6,AA6,AB6,AC6,AD6,AE6,AF6,AG6,AH6)</f>
        <v>490</v>
      </c>
      <c r="AK6" s="5">
        <f>(AJ6/(AJ3+AJ4))*100</f>
        <v>9.2018779342723018</v>
      </c>
    </row>
    <row r="7" spans="1:37" ht="18.95" customHeight="1" x14ac:dyDescent="0.3">
      <c r="A7" s="88"/>
      <c r="B7" s="90"/>
      <c r="C7" s="60" t="s">
        <v>21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>
        <v>16</v>
      </c>
      <c r="X7" s="4"/>
      <c r="Y7" s="4"/>
      <c r="Z7" s="4"/>
      <c r="AA7" s="4"/>
      <c r="AB7" s="4"/>
      <c r="AC7" s="25">
        <v>2</v>
      </c>
      <c r="AD7" s="4"/>
      <c r="AE7" s="24"/>
      <c r="AF7" s="4">
        <v>180</v>
      </c>
      <c r="AG7" s="24">
        <v>76</v>
      </c>
      <c r="AH7" s="4"/>
      <c r="AI7" s="44">
        <f t="shared" si="0"/>
        <v>8.8387096774193541</v>
      </c>
      <c r="AJ7" s="33">
        <f>SUM(D7,E7,F7,G7,H7,I7,J7,K7,L7,M7,N7,O7,P7,Q7,R7,S7,T7,U7,V7,W7,X7,Y7,Z7,AA7,AB7,AC7,AD7,AE7,AF7,AG7,AH7)</f>
        <v>274</v>
      </c>
      <c r="AK7" s="5">
        <f>(AJ7/(AJ3+AJ4))*100</f>
        <v>5.1455399061032869</v>
      </c>
    </row>
    <row r="8" spans="1:37" ht="18.95" customHeight="1" x14ac:dyDescent="0.3">
      <c r="A8" s="88"/>
      <c r="B8" s="90"/>
      <c r="C8" s="61" t="s">
        <v>22</v>
      </c>
      <c r="D8" s="38"/>
      <c r="E8" s="39"/>
      <c r="F8" s="39">
        <v>7</v>
      </c>
      <c r="G8" s="39"/>
      <c r="H8" s="39">
        <v>5</v>
      </c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>
        <v>9</v>
      </c>
      <c r="Z8" s="39"/>
      <c r="AA8" s="39"/>
      <c r="AB8" s="39"/>
      <c r="AC8" s="38"/>
      <c r="AD8" s="39"/>
      <c r="AE8" s="40"/>
      <c r="AF8" s="39">
        <v>2</v>
      </c>
      <c r="AG8" s="40">
        <v>62</v>
      </c>
      <c r="AH8" s="39"/>
      <c r="AI8" s="47">
        <f t="shared" si="0"/>
        <v>2.7419354838709675</v>
      </c>
      <c r="AJ8" s="41">
        <f>SUM(D8,E8,F8,G8,H8,I8,J8,K8,L8,M8,N8,O8,P8,Q8,R8,S8,T8,U8,V8,W8,X8,Y8,Z8,AA8,AB8,AC8,AD8,AE8,AF8,AG8,AH8)</f>
        <v>85</v>
      </c>
      <c r="AK8" s="42">
        <f>(AJ8/(AJ3+AJ4))*100</f>
        <v>1.5962441314553992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>
        <v>181</v>
      </c>
      <c r="H9" s="2"/>
      <c r="I9" s="2"/>
      <c r="J9" s="22"/>
      <c r="K9" s="2"/>
      <c r="L9" s="2"/>
      <c r="M9" s="2"/>
      <c r="N9" s="2"/>
      <c r="O9" s="2"/>
      <c r="P9" s="2"/>
      <c r="Q9" s="2"/>
      <c r="R9" s="2">
        <v>100</v>
      </c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9.064516129032258</v>
      </c>
      <c r="AJ9" s="32">
        <f>SUM(D9,E9,F9,G9,H9,I9,J9,K9,L9,M9,N9,O9,P9,Q9,R9,S9,T9,U9,V9,W9,X9,Y9,Z9,AA9,AB9,AC9,AD9,AE9,AF9,AG9,AH9)</f>
        <v>281</v>
      </c>
      <c r="AK9" s="3">
        <f>(AJ9/(AJ3+AJ4))*100</f>
        <v>5.276995305164319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8</v>
      </c>
      <c r="D11" s="21"/>
      <c r="E11" s="2"/>
      <c r="F11" s="2"/>
      <c r="G11" s="2"/>
      <c r="H11" s="2"/>
      <c r="I11" s="2"/>
      <c r="J11" s="22"/>
      <c r="K11" s="2"/>
      <c r="L11" s="2"/>
      <c r="M11" s="2"/>
      <c r="N11" s="2"/>
      <c r="O11" s="2"/>
      <c r="P11" s="2"/>
      <c r="Q11" s="2"/>
      <c r="R11" s="2"/>
      <c r="S11" s="2"/>
      <c r="T11" s="2">
        <v>320</v>
      </c>
      <c r="U11" s="2"/>
      <c r="V11" s="2"/>
      <c r="W11" s="2"/>
      <c r="X11" s="2"/>
      <c r="Y11" s="2"/>
      <c r="Z11" s="2"/>
      <c r="AA11" s="2"/>
      <c r="AB11" s="2"/>
      <c r="AC11" s="21"/>
      <c r="AD11" s="2"/>
      <c r="AE11" s="23"/>
      <c r="AF11" s="2"/>
      <c r="AG11" s="23">
        <v>44</v>
      </c>
      <c r="AH11" s="2"/>
      <c r="AI11" s="43">
        <f t="shared" si="0"/>
        <v>11.741935483870968</v>
      </c>
      <c r="AJ11" s="32">
        <f>SUM(D11,E11,F11,G11,H11,I11,J11,K11,L11,M11,N11,O11,P11,Q11,R11,S11,T11,U11,V11,W11,X11,Y11,Z11,AA11,AB11,AC11,AD11,AE11,AF11,AG11,AH11)</f>
        <v>364</v>
      </c>
      <c r="AK11" s="3">
        <f>(AJ11/(AJ3+AJ4))*100</f>
        <v>6.835680751173709</v>
      </c>
    </row>
    <row r="12" spans="1:37" ht="18.95" customHeight="1" x14ac:dyDescent="0.3">
      <c r="A12" s="88"/>
      <c r="B12" s="91" t="s">
        <v>4</v>
      </c>
      <c r="C12" s="62" t="s">
        <v>9</v>
      </c>
      <c r="D12" s="6"/>
      <c r="E12" s="6"/>
      <c r="F12" s="6"/>
      <c r="G12" s="6">
        <v>75</v>
      </c>
      <c r="H12" s="6">
        <v>63</v>
      </c>
      <c r="I12" s="6"/>
      <c r="J12" s="26"/>
      <c r="K12" s="6"/>
      <c r="L12" s="6"/>
      <c r="M12" s="6"/>
      <c r="N12" s="6">
        <v>20</v>
      </c>
      <c r="O12" s="6"/>
      <c r="P12" s="6"/>
      <c r="Q12" s="6"/>
      <c r="R12" s="6"/>
      <c r="S12" s="6"/>
      <c r="T12" s="6"/>
      <c r="U12" s="6"/>
      <c r="V12" s="6">
        <v>50</v>
      </c>
      <c r="W12" s="6"/>
      <c r="X12" s="6"/>
      <c r="Y12" s="6"/>
      <c r="Z12" s="6"/>
      <c r="AA12" s="6"/>
      <c r="AB12" s="6"/>
      <c r="AC12" s="27"/>
      <c r="AD12" s="6"/>
      <c r="AE12" s="26"/>
      <c r="AF12" s="6"/>
      <c r="AG12" s="26"/>
      <c r="AH12" s="6"/>
      <c r="AI12" s="45">
        <f t="shared" si="0"/>
        <v>6.709677419354839</v>
      </c>
      <c r="AJ12" s="34">
        <f>SUM(D12,E12,F12,G12,H12,I12,J12,K12,L12,M12,N12,O12,P12,Q12,R12,S12,T12,U12,V12,W12,X12,Y12,Z12,AA12,AB12,AC12,AD12,AE12,AF12,AG12,AH12)</f>
        <v>208</v>
      </c>
      <c r="AK12" s="7">
        <f>(AJ12/(AJ3+AJ4))*100</f>
        <v>3.9061032863849765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>
        <v>10</v>
      </c>
      <c r="O13" s="8"/>
      <c r="P13" s="8"/>
      <c r="Q13" s="8"/>
      <c r="R13" s="8"/>
      <c r="S13" s="8"/>
      <c r="T13" s="8"/>
      <c r="U13" s="8"/>
      <c r="V13" s="8">
        <v>20</v>
      </c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0.967741935483871</v>
      </c>
      <c r="AJ13" s="35">
        <f t="shared" si="1"/>
        <v>30</v>
      </c>
      <c r="AK13" s="9">
        <f>(AJ13/(AJ3+AJ4))*100</f>
        <v>0.56338028169014087</v>
      </c>
    </row>
    <row r="14" spans="1:37" ht="18.95" customHeight="1" x14ac:dyDescent="0.3">
      <c r="A14" s="88"/>
      <c r="B14" s="92"/>
      <c r="C14" s="56" t="s">
        <v>28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>
        <v>468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15.096774193548388</v>
      </c>
      <c r="AJ14" s="34">
        <f t="shared" si="1"/>
        <v>468</v>
      </c>
      <c r="AK14" s="7">
        <f>(AJ14/(AJ3+AJ4))*100</f>
        <v>8.7887323943661979</v>
      </c>
    </row>
    <row r="15" spans="1:37" ht="18.95" customHeight="1" x14ac:dyDescent="0.3">
      <c r="A15" s="88"/>
      <c r="B15" s="93"/>
      <c r="C15" s="62" t="s">
        <v>4</v>
      </c>
      <c r="D15" s="51"/>
      <c r="E15" s="51"/>
      <c r="F15" s="51"/>
      <c r="G15" s="51"/>
      <c r="H15" s="51"/>
      <c r="I15" s="51">
        <v>20</v>
      </c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1"/>
      <c r="AE15" s="50"/>
      <c r="AF15" s="51"/>
      <c r="AG15" s="50"/>
      <c r="AH15" s="51"/>
      <c r="AI15" s="45">
        <f t="shared" si="0"/>
        <v>0.64516129032258063</v>
      </c>
      <c r="AJ15" s="34">
        <f>SUM(D15,E15,F15,G15,H15,I15,J15,K15,L15,M15,N15,O15,P15,Q15,R15,S15,T15,U15,V15,W15,X15,Y15,Z15,AA15,AB15,AC15,AD15,AE15,AF15,AG15,AH15)</f>
        <v>20</v>
      </c>
      <c r="AK15" s="7">
        <f>(AJ15/(AJ3+AJ4))*100</f>
        <v>0.37558685446009388</v>
      </c>
    </row>
    <row r="16" spans="1:37" ht="18.399999999999999" customHeight="1" x14ac:dyDescent="0.3">
      <c r="A16" s="89"/>
      <c r="B16" s="80" t="s">
        <v>10</v>
      </c>
      <c r="C16" s="81"/>
      <c r="D16" s="80">
        <f>SUM(D5:J15)</f>
        <v>519</v>
      </c>
      <c r="E16" s="81"/>
      <c r="F16" s="81"/>
      <c r="G16" s="81"/>
      <c r="H16" s="81"/>
      <c r="I16" s="81"/>
      <c r="J16" s="82"/>
      <c r="K16" s="80">
        <f>SUM(K5:Q15)</f>
        <v>629</v>
      </c>
      <c r="L16" s="81"/>
      <c r="M16" s="81"/>
      <c r="N16" s="81"/>
      <c r="O16" s="81"/>
      <c r="P16" s="81"/>
      <c r="Q16" s="82"/>
      <c r="R16" s="80">
        <f>SUM(R5:X15)</f>
        <v>653</v>
      </c>
      <c r="S16" s="81"/>
      <c r="T16" s="81"/>
      <c r="U16" s="81"/>
      <c r="V16" s="81"/>
      <c r="W16" s="81"/>
      <c r="X16" s="82"/>
      <c r="Y16" s="80">
        <f>SUM(Y5:AE15)</f>
        <v>201</v>
      </c>
      <c r="Z16" s="81"/>
      <c r="AA16" s="81"/>
      <c r="AB16" s="81"/>
      <c r="AC16" s="81"/>
      <c r="AD16" s="81"/>
      <c r="AE16" s="82"/>
      <c r="AF16" s="80">
        <f>SUM(AF5:AG15)</f>
        <v>469</v>
      </c>
      <c r="AG16" s="82"/>
      <c r="AH16" s="66"/>
      <c r="AI16" s="53">
        <f t="shared" si="0"/>
        <v>79.709677419354833</v>
      </c>
      <c r="AJ16" s="49">
        <f>SUM(AJ5,AJ6,AJ7,AJ8,AJ9,AJ10,AJ11,AJ12,AJ13,AJ14,AJ15)</f>
        <v>2471</v>
      </c>
      <c r="AK16" s="10">
        <f>SUM(AK5,AK6,AK7,AK8,AK9,AK10,AK11,AK12,AK13,AK14,AK15)</f>
        <v>46.403755868544614</v>
      </c>
    </row>
    <row r="17" spans="1:37" ht="18" customHeight="1" x14ac:dyDescent="0.3">
      <c r="A17" s="114" t="s">
        <v>26</v>
      </c>
      <c r="B17" s="114"/>
      <c r="C17" s="115"/>
      <c r="D17" s="116">
        <v>4095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2"/>
    </row>
    <row r="18" spans="1:37" ht="18" customHeight="1" x14ac:dyDescent="0.3">
      <c r="A18" s="109" t="s">
        <v>20</v>
      </c>
      <c r="B18" s="109"/>
      <c r="C18" s="110"/>
      <c r="D18" s="120">
        <f>((AJ3+AJ4+D17)-AJ16)-D17</f>
        <v>2854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53.596244131455393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6949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2">
    <mergeCell ref="A1:C2"/>
    <mergeCell ref="AI1:AI2"/>
    <mergeCell ref="AJ1:AJ2"/>
    <mergeCell ref="AK1:AK2"/>
    <mergeCell ref="A3:B4"/>
    <mergeCell ref="AI3:AI4"/>
    <mergeCell ref="AK3:AK4"/>
    <mergeCell ref="A19:C19"/>
    <mergeCell ref="D19:AJ19"/>
    <mergeCell ref="D16:J16"/>
    <mergeCell ref="K16:Q16"/>
    <mergeCell ref="R16:X16"/>
    <mergeCell ref="Y16:AE16"/>
    <mergeCell ref="AF16:AG16"/>
    <mergeCell ref="A17:C17"/>
    <mergeCell ref="D17:AJ17"/>
    <mergeCell ref="A18:C18"/>
    <mergeCell ref="D18:AJ18"/>
    <mergeCell ref="A5:A16"/>
    <mergeCell ref="B5:B11"/>
    <mergeCell ref="B12:B15"/>
    <mergeCell ref="B16:C1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7" t="s">
        <v>15</v>
      </c>
      <c r="E1" s="36" t="s">
        <v>14</v>
      </c>
      <c r="F1" s="36" t="s">
        <v>13</v>
      </c>
      <c r="G1" s="36" t="s">
        <v>12</v>
      </c>
      <c r="H1" s="37" t="s">
        <v>11</v>
      </c>
      <c r="I1" s="55" t="s">
        <v>17</v>
      </c>
      <c r="J1" s="36" t="s">
        <v>16</v>
      </c>
      <c r="K1" s="37" t="s">
        <v>15</v>
      </c>
      <c r="L1" s="36" t="s">
        <v>14</v>
      </c>
      <c r="M1" s="36" t="s">
        <v>13</v>
      </c>
      <c r="N1" s="36" t="s">
        <v>12</v>
      </c>
      <c r="O1" s="37" t="s">
        <v>11</v>
      </c>
      <c r="P1" s="55" t="s">
        <v>17</v>
      </c>
      <c r="Q1" s="36" t="s">
        <v>16</v>
      </c>
      <c r="R1" s="37" t="s">
        <v>15</v>
      </c>
      <c r="S1" s="36" t="s">
        <v>14</v>
      </c>
      <c r="T1" s="36" t="s">
        <v>13</v>
      </c>
      <c r="U1" s="36" t="s">
        <v>12</v>
      </c>
      <c r="V1" s="37" t="s">
        <v>11</v>
      </c>
      <c r="W1" s="55" t="s">
        <v>17</v>
      </c>
      <c r="X1" s="36" t="s">
        <v>16</v>
      </c>
      <c r="Y1" s="37" t="s">
        <v>15</v>
      </c>
      <c r="Z1" s="36" t="s">
        <v>14</v>
      </c>
      <c r="AA1" s="36" t="s">
        <v>13</v>
      </c>
      <c r="AB1" s="36" t="s">
        <v>12</v>
      </c>
      <c r="AC1" s="37" t="s">
        <v>11</v>
      </c>
      <c r="AD1" s="55" t="s">
        <v>17</v>
      </c>
      <c r="AE1" s="36" t="s">
        <v>16</v>
      </c>
      <c r="AF1" s="37" t="s">
        <v>15</v>
      </c>
      <c r="AG1" s="36" t="s">
        <v>14</v>
      </c>
      <c r="AH1" s="36" t="s">
        <v>13</v>
      </c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>
        <v>508</v>
      </c>
      <c r="E3" s="15"/>
      <c r="F3" s="15"/>
      <c r="G3" s="15"/>
      <c r="H3" s="15"/>
      <c r="I3" s="18">
        <v>1264</v>
      </c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104">
        <f>(AJ3+AJ4)/31</f>
        <v>88.548387096774192</v>
      </c>
      <c r="AJ3" s="48">
        <f>SUM(D3:AH3)</f>
        <v>1772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/>
      <c r="E4" s="18"/>
      <c r="F4" s="18"/>
      <c r="G4" s="18">
        <v>6</v>
      </c>
      <c r="H4" s="18"/>
      <c r="I4" s="18">
        <v>2</v>
      </c>
      <c r="J4" s="19">
        <v>100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v>579</v>
      </c>
      <c r="AC4" s="20">
        <v>270</v>
      </c>
      <c r="AD4" s="18"/>
      <c r="AE4" s="19"/>
      <c r="AF4" s="18">
        <v>5</v>
      </c>
      <c r="AG4" s="19"/>
      <c r="AH4" s="18">
        <v>11</v>
      </c>
      <c r="AI4" s="105"/>
      <c r="AJ4" s="48">
        <f>SUM(D4:AH4)</f>
        <v>973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>
        <v>4</v>
      </c>
      <c r="E5" s="2"/>
      <c r="F5" s="2">
        <v>14</v>
      </c>
      <c r="G5" s="2"/>
      <c r="H5" s="2"/>
      <c r="I5" s="2"/>
      <c r="J5" s="22"/>
      <c r="K5" s="2">
        <v>73</v>
      </c>
      <c r="L5" s="2">
        <v>195</v>
      </c>
      <c r="M5" s="2">
        <v>79</v>
      </c>
      <c r="N5" s="2">
        <v>40</v>
      </c>
      <c r="O5" s="2"/>
      <c r="P5" s="2">
        <v>41</v>
      </c>
      <c r="Q5" s="2">
        <v>30</v>
      </c>
      <c r="R5" s="2">
        <v>100</v>
      </c>
      <c r="S5" s="2"/>
      <c r="T5" s="2"/>
      <c r="U5" s="2">
        <v>24</v>
      </c>
      <c r="V5" s="2">
        <v>71</v>
      </c>
      <c r="W5" s="2">
        <v>21</v>
      </c>
      <c r="X5" s="2">
        <v>52</v>
      </c>
      <c r="Y5" s="2"/>
      <c r="Z5" s="2">
        <v>48</v>
      </c>
      <c r="AA5" s="2">
        <v>22</v>
      </c>
      <c r="AB5" s="2">
        <v>10</v>
      </c>
      <c r="AC5" s="21"/>
      <c r="AD5" s="2"/>
      <c r="AE5" s="23"/>
      <c r="AF5" s="2"/>
      <c r="AG5" s="23"/>
      <c r="AH5" s="2">
        <v>7</v>
      </c>
      <c r="AI5" s="43">
        <f t="shared" ref="AI5:AI16" si="0">AJ5/31</f>
        <v>26.806451612903224</v>
      </c>
      <c r="AJ5" s="32">
        <f>SUM(D5,E5,F5,G5,H5,I5,J5,K5,L5,M5,N5,O5,P5,Q5,R5,S5,T5,U5,V5,W5,X5,Y5,Z5,AA5,AB5,AC5,AD5,AE5,AF5,AG5,AH5)</f>
        <v>831</v>
      </c>
      <c r="AK5" s="3">
        <f>(AJ5/(AJ3+AJ4))*100</f>
        <v>30.273224043715846</v>
      </c>
    </row>
    <row r="6" spans="1:37" ht="18.95" customHeight="1" x14ac:dyDescent="0.3">
      <c r="A6" s="88"/>
      <c r="B6" s="90"/>
      <c r="C6" s="60" t="s">
        <v>6</v>
      </c>
      <c r="D6" s="4">
        <v>35</v>
      </c>
      <c r="E6" s="4">
        <v>3</v>
      </c>
      <c r="F6" s="4"/>
      <c r="G6" s="4"/>
      <c r="H6" s="4"/>
      <c r="I6" s="4">
        <v>66</v>
      </c>
      <c r="J6" s="24"/>
      <c r="K6" s="4"/>
      <c r="L6" s="4">
        <v>150</v>
      </c>
      <c r="M6" s="4">
        <v>30</v>
      </c>
      <c r="N6" s="4">
        <v>115</v>
      </c>
      <c r="O6" s="4">
        <v>335</v>
      </c>
      <c r="P6" s="4">
        <v>40</v>
      </c>
      <c r="Q6" s="4"/>
      <c r="R6" s="4">
        <v>7</v>
      </c>
      <c r="S6" s="4">
        <v>90</v>
      </c>
      <c r="T6" s="4"/>
      <c r="U6" s="4"/>
      <c r="V6" s="4">
        <v>50</v>
      </c>
      <c r="W6" s="4"/>
      <c r="X6" s="4">
        <v>16</v>
      </c>
      <c r="Y6" s="4">
        <v>16</v>
      </c>
      <c r="Z6" s="4">
        <v>137</v>
      </c>
      <c r="AA6" s="4">
        <v>7</v>
      </c>
      <c r="AB6" s="4">
        <v>270</v>
      </c>
      <c r="AC6" s="25"/>
      <c r="AD6" s="4"/>
      <c r="AE6" s="24"/>
      <c r="AF6" s="4"/>
      <c r="AG6" s="24"/>
      <c r="AH6" s="4">
        <v>37</v>
      </c>
      <c r="AI6" s="44">
        <f t="shared" si="0"/>
        <v>45.29032258064516</v>
      </c>
      <c r="AJ6" s="33">
        <f>SUM(D6,E6,F6,G6,H6,I6,J6,K6,L6,M6,N6,O6,P6,Q6,R6,S6,T6,U6,V6,W6,X6,Y6,Z6,AA6,AB6,AC6,AD6,AE6,AF6,AG6,AH6)</f>
        <v>1404</v>
      </c>
      <c r="AK6" s="5">
        <f>(AJ6/(AJ3+AJ4))*100</f>
        <v>51.147540983606554</v>
      </c>
    </row>
    <row r="7" spans="1:37" ht="18.95" customHeight="1" x14ac:dyDescent="0.3">
      <c r="A7" s="88"/>
      <c r="B7" s="90"/>
      <c r="C7" s="60" t="s">
        <v>21</v>
      </c>
      <c r="D7" s="25">
        <v>76</v>
      </c>
      <c r="E7" s="4"/>
      <c r="F7" s="4">
        <v>374</v>
      </c>
      <c r="G7" s="4"/>
      <c r="H7" s="4"/>
      <c r="I7" s="4"/>
      <c r="J7" s="24"/>
      <c r="K7" s="4"/>
      <c r="L7" s="4"/>
      <c r="M7" s="4"/>
      <c r="N7" s="4"/>
      <c r="O7" s="4"/>
      <c r="P7" s="4"/>
      <c r="Q7" s="4">
        <v>72</v>
      </c>
      <c r="R7" s="4"/>
      <c r="S7" s="4"/>
      <c r="T7" s="4"/>
      <c r="U7" s="4"/>
      <c r="V7" s="4"/>
      <c r="W7" s="4"/>
      <c r="X7" s="4">
        <v>90</v>
      </c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19.741935483870968</v>
      </c>
      <c r="AJ7" s="33">
        <f>SUM(D7,E7,F7,G7,H7,I7,J7,K7,L7,M7,N7,O7,P7,Q7,R7,S7,T7,U7,V7,W7,X7,Y7,Z7,AA7,AB7,AC7,AD7,AE7,AF7,AG7,AH7)</f>
        <v>612</v>
      </c>
      <c r="AK7" s="5">
        <f>(AJ7/(AJ3+AJ4))*100</f>
        <v>22.295081967213115</v>
      </c>
    </row>
    <row r="8" spans="1:37" ht="18.95" customHeight="1" x14ac:dyDescent="0.3">
      <c r="A8" s="88"/>
      <c r="B8" s="90"/>
      <c r="C8" s="61" t="s">
        <v>22</v>
      </c>
      <c r="D8" s="38"/>
      <c r="E8" s="39">
        <v>48</v>
      </c>
      <c r="F8" s="39"/>
      <c r="G8" s="39"/>
      <c r="H8" s="39"/>
      <c r="I8" s="39"/>
      <c r="J8" s="40"/>
      <c r="K8" s="39"/>
      <c r="L8" s="39">
        <v>5</v>
      </c>
      <c r="M8" s="39">
        <v>4</v>
      </c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1.8387096774193548</v>
      </c>
      <c r="AJ8" s="41">
        <f>SUM(D8,E8,F8,G8,H8,I8,J8,K8,L8,M8,N8,O8,P8,Q8,R8,S8,T8,U8,V8,W8,X8,Y8,Z8,AA8,AB8,AC8,AD8,AE8,AF8,AG8,AH8)</f>
        <v>57</v>
      </c>
      <c r="AK8" s="42">
        <f>(AJ8/(AJ3+AJ4))*100</f>
        <v>2.0765027322404372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/>
      <c r="AH9" s="2">
        <v>125</v>
      </c>
      <c r="AI9" s="43">
        <f t="shared" si="0"/>
        <v>4.032258064516129</v>
      </c>
      <c r="AJ9" s="32">
        <f>SUM(D9,E9,F9,G9,H9,I9,J9,K9,L9,M9,N9,O9,P9,Q9,R9,S9,T9,U9,V9,W9,X9,Y9,Z9,AA9,AB9,AC9,AD9,AE9,AF9,AG9,AH9)</f>
        <v>125</v>
      </c>
      <c r="AK9" s="3">
        <f>(AJ9/(AJ3+AJ4))*100</f>
        <v>4.5537340619307827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8</v>
      </c>
      <c r="D11" s="21"/>
      <c r="E11" s="2"/>
      <c r="F11" s="2">
        <v>81</v>
      </c>
      <c r="G11" s="2"/>
      <c r="H11" s="2"/>
      <c r="I11" s="2"/>
      <c r="J11" s="22">
        <v>500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>
        <v>84</v>
      </c>
      <c r="Y11" s="2">
        <v>21</v>
      </c>
      <c r="Z11" s="2"/>
      <c r="AA11" s="2"/>
      <c r="AB11" s="2">
        <v>2</v>
      </c>
      <c r="AC11" s="21"/>
      <c r="AD11" s="2"/>
      <c r="AE11" s="23"/>
      <c r="AF11" s="2"/>
      <c r="AG11" s="23"/>
      <c r="AH11" s="2"/>
      <c r="AI11" s="43">
        <f t="shared" si="0"/>
        <v>22.193548387096776</v>
      </c>
      <c r="AJ11" s="32">
        <f>SUM(D11,E11,F11,G11,H11,I11,J11,K11,L11,M11,N11,O11,P11,Q11,R11,S11,T11,U11,V11,W11,X11,Y11,Z11,AA11,AB11,AC11,AD11,AE11,AF11,AG11,AH11)</f>
        <v>688</v>
      </c>
      <c r="AK11" s="3">
        <f>(AJ11/(AJ3+AJ4))*100</f>
        <v>25.063752276867028</v>
      </c>
    </row>
    <row r="12" spans="1:37" ht="18.95" customHeight="1" x14ac:dyDescent="0.3">
      <c r="A12" s="88"/>
      <c r="B12" s="91" t="s">
        <v>4</v>
      </c>
      <c r="C12" s="62" t="s">
        <v>9</v>
      </c>
      <c r="D12" s="6"/>
      <c r="E12" s="6">
        <v>77</v>
      </c>
      <c r="F12" s="6"/>
      <c r="G12" s="6"/>
      <c r="H12" s="6"/>
      <c r="I12" s="6"/>
      <c r="J12" s="26"/>
      <c r="K12" s="6">
        <v>150</v>
      </c>
      <c r="L12" s="6">
        <v>24</v>
      </c>
      <c r="M12" s="6">
        <v>100</v>
      </c>
      <c r="N12" s="6"/>
      <c r="O12" s="6">
        <v>37</v>
      </c>
      <c r="P12" s="6">
        <v>30</v>
      </c>
      <c r="Q12" s="6">
        <v>11</v>
      </c>
      <c r="R12" s="6">
        <v>82</v>
      </c>
      <c r="S12" s="6"/>
      <c r="T12" s="6">
        <v>65</v>
      </c>
      <c r="U12" s="6">
        <v>78</v>
      </c>
      <c r="V12" s="6">
        <v>25</v>
      </c>
      <c r="W12" s="6">
        <v>46</v>
      </c>
      <c r="X12" s="6">
        <v>113</v>
      </c>
      <c r="Y12" s="6"/>
      <c r="Z12" s="6"/>
      <c r="AA12" s="6">
        <v>100</v>
      </c>
      <c r="AB12" s="6"/>
      <c r="AC12" s="27">
        <v>60</v>
      </c>
      <c r="AD12" s="6"/>
      <c r="AE12" s="26">
        <v>42</v>
      </c>
      <c r="AF12" s="6"/>
      <c r="AG12" s="26"/>
      <c r="AH12" s="6"/>
      <c r="AI12" s="45">
        <f t="shared" si="0"/>
        <v>33.548387096774192</v>
      </c>
      <c r="AJ12" s="34">
        <f>SUM(D12,E12,F12,G12,H12,I12,J12,K12,L12,M12,N12,O12,P12,Q12,R12,S12,T12,U12,V12,W12,X12,Y12,Z12,AA12,AB12,AC12,AD12,AE12,AF12,AG12,AH12)</f>
        <v>1040</v>
      </c>
      <c r="AK12" s="7">
        <f>(AJ12/(AJ3+AJ4))*100</f>
        <v>37.887067395264118</v>
      </c>
    </row>
    <row r="13" spans="1:37" ht="18.95" customHeight="1" x14ac:dyDescent="0.3">
      <c r="A13" s="88"/>
      <c r="B13" s="92"/>
      <c r="C13" s="62" t="s">
        <v>30</v>
      </c>
      <c r="D13" s="28"/>
      <c r="E13" s="8">
        <v>25</v>
      </c>
      <c r="F13" s="8"/>
      <c r="G13" s="8"/>
      <c r="H13" s="8"/>
      <c r="I13" s="8"/>
      <c r="J13" s="29"/>
      <c r="K13" s="8"/>
      <c r="L13" s="8"/>
      <c r="M13" s="8"/>
      <c r="N13" s="8"/>
      <c r="O13" s="8">
        <v>20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>
        <v>15</v>
      </c>
      <c r="AD13" s="8"/>
      <c r="AE13" s="30">
        <v>20</v>
      </c>
      <c r="AF13" s="8"/>
      <c r="AG13" s="30"/>
      <c r="AH13" s="8"/>
      <c r="AI13" s="46">
        <f t="shared" si="0"/>
        <v>2.5806451612903225</v>
      </c>
      <c r="AJ13" s="35">
        <f t="shared" si="1"/>
        <v>80</v>
      </c>
      <c r="AK13" s="9">
        <f>(AJ13/(AJ3+AJ4))*100</f>
        <v>2.9143897996357011</v>
      </c>
    </row>
    <row r="14" spans="1:37" ht="18.95" customHeight="1" x14ac:dyDescent="0.3">
      <c r="A14" s="88"/>
      <c r="B14" s="92"/>
      <c r="C14" s="56" t="s">
        <v>28</v>
      </c>
      <c r="D14" s="6">
        <v>195</v>
      </c>
      <c r="E14" s="6"/>
      <c r="F14" s="6"/>
      <c r="G14" s="6">
        <v>30</v>
      </c>
      <c r="H14" s="6">
        <v>12</v>
      </c>
      <c r="I14" s="6"/>
      <c r="J14" s="26"/>
      <c r="K14" s="6"/>
      <c r="L14" s="6"/>
      <c r="M14" s="6"/>
      <c r="N14" s="6">
        <v>162</v>
      </c>
      <c r="O14" s="6"/>
      <c r="P14" s="6"/>
      <c r="Q14" s="6"/>
      <c r="R14" s="6"/>
      <c r="S14" s="6">
        <v>276</v>
      </c>
      <c r="T14" s="6"/>
      <c r="U14" s="6"/>
      <c r="V14" s="6">
        <v>70</v>
      </c>
      <c r="W14" s="6">
        <v>252</v>
      </c>
      <c r="X14" s="6"/>
      <c r="Y14" s="6">
        <v>305</v>
      </c>
      <c r="Z14" s="6"/>
      <c r="AA14" s="6">
        <v>60</v>
      </c>
      <c r="AB14" s="6"/>
      <c r="AC14" s="27"/>
      <c r="AD14" s="6"/>
      <c r="AE14" s="26"/>
      <c r="AF14" s="6"/>
      <c r="AG14" s="26"/>
      <c r="AH14" s="6"/>
      <c r="AI14" s="45">
        <f t="shared" si="0"/>
        <v>43.935483870967744</v>
      </c>
      <c r="AJ14" s="34">
        <f t="shared" si="1"/>
        <v>1362</v>
      </c>
      <c r="AK14" s="7">
        <f>(AJ14/(AJ3+AJ4))*100</f>
        <v>49.617486338797811</v>
      </c>
    </row>
    <row r="15" spans="1:37" ht="18.95" customHeight="1" x14ac:dyDescent="0.3">
      <c r="A15" s="88"/>
      <c r="B15" s="93"/>
      <c r="C15" s="62" t="s">
        <v>4</v>
      </c>
      <c r="D15" s="51"/>
      <c r="E15" s="51"/>
      <c r="F15" s="51">
        <v>120</v>
      </c>
      <c r="G15" s="51"/>
      <c r="H15" s="51"/>
      <c r="I15" s="51">
        <v>45</v>
      </c>
      <c r="J15" s="50"/>
      <c r="K15" s="51"/>
      <c r="L15" s="51"/>
      <c r="M15" s="51">
        <v>100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1"/>
      <c r="AE15" s="50">
        <v>50</v>
      </c>
      <c r="AF15" s="51">
        <v>250</v>
      </c>
      <c r="AG15" s="50"/>
      <c r="AH15" s="51"/>
      <c r="AI15" s="45">
        <f t="shared" si="0"/>
        <v>18.225806451612904</v>
      </c>
      <c r="AJ15" s="34">
        <f>SUM(D15,E15,F15,G15,H15,I15,J15,K15,L15,M15,N15,O15,P15,Q15,R15,S15,T15,U15,V15,W15,X15,Y15,Z15,AA15,AB15,AC15,AD15,AE15,AF15,AG15,AH15)</f>
        <v>565</v>
      </c>
      <c r="AK15" s="7">
        <f>(AJ15/(AJ3+AJ4))*100</f>
        <v>20.582877959927139</v>
      </c>
    </row>
    <row r="16" spans="1:37" ht="18.399999999999999" customHeight="1" x14ac:dyDescent="0.3">
      <c r="A16" s="89"/>
      <c r="B16" s="80" t="s">
        <v>10</v>
      </c>
      <c r="C16" s="81"/>
      <c r="D16" s="80">
        <f>SUM(D5:H15)+469</f>
        <v>1563</v>
      </c>
      <c r="E16" s="81"/>
      <c r="F16" s="81"/>
      <c r="G16" s="81"/>
      <c r="H16" s="82"/>
      <c r="I16" s="80">
        <f>SUM(I5:O15)</f>
        <v>2230</v>
      </c>
      <c r="J16" s="81"/>
      <c r="K16" s="81"/>
      <c r="L16" s="81"/>
      <c r="M16" s="81"/>
      <c r="N16" s="81"/>
      <c r="O16" s="82"/>
      <c r="P16" s="80">
        <f>SUM(P5:V15)</f>
        <v>1162</v>
      </c>
      <c r="Q16" s="81"/>
      <c r="R16" s="81"/>
      <c r="S16" s="81"/>
      <c r="T16" s="81"/>
      <c r="U16" s="81"/>
      <c r="V16" s="82"/>
      <c r="W16" s="80">
        <f>SUM(W5:AC15)</f>
        <v>1747</v>
      </c>
      <c r="X16" s="81"/>
      <c r="Y16" s="81"/>
      <c r="Z16" s="81"/>
      <c r="AA16" s="81"/>
      <c r="AB16" s="81"/>
      <c r="AC16" s="82"/>
      <c r="AD16" s="80">
        <f>SUM(AD5:AH15)</f>
        <v>531</v>
      </c>
      <c r="AE16" s="81"/>
      <c r="AF16" s="81"/>
      <c r="AG16" s="81"/>
      <c r="AH16" s="82"/>
      <c r="AI16" s="53">
        <f t="shared" si="0"/>
        <v>218.19354838709677</v>
      </c>
      <c r="AJ16" s="49">
        <f>SUM(AJ5,AJ6,AJ7,AJ8,AJ9,AJ10,AJ11,AJ12,AJ13,AJ14,AJ15)</f>
        <v>6764</v>
      </c>
      <c r="AK16" s="10">
        <f>SUM(AK5,AK6,AK7,AK8,AK9,AK10,AK11,AK12,AK13,AK14,AK15)</f>
        <v>246.41165755919857</v>
      </c>
    </row>
    <row r="17" spans="1:37" ht="18" customHeight="1" x14ac:dyDescent="0.3">
      <c r="A17" s="114" t="s">
        <v>26</v>
      </c>
      <c r="B17" s="114"/>
      <c r="C17" s="115"/>
      <c r="D17" s="116">
        <v>6949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3"/>
    </row>
    <row r="18" spans="1:37" ht="18" customHeight="1" x14ac:dyDescent="0.3">
      <c r="A18" s="109" t="s">
        <v>20</v>
      </c>
      <c r="B18" s="109"/>
      <c r="C18" s="110"/>
      <c r="D18" s="120">
        <f>((AJ3+AJ4+D17)-AJ16)-D17</f>
        <v>-4019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-146.41165755919855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2930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2">
    <mergeCell ref="A19:C19"/>
    <mergeCell ref="D19:AJ19"/>
    <mergeCell ref="A17:C17"/>
    <mergeCell ref="D17:AJ17"/>
    <mergeCell ref="A18:C18"/>
    <mergeCell ref="D18:AJ18"/>
    <mergeCell ref="AI1:AI2"/>
    <mergeCell ref="AJ1:AJ2"/>
    <mergeCell ref="AK1:AK2"/>
    <mergeCell ref="A3:B4"/>
    <mergeCell ref="AI3:AI4"/>
    <mergeCell ref="AK3:AK4"/>
    <mergeCell ref="I16:O16"/>
    <mergeCell ref="P16:V16"/>
    <mergeCell ref="W16:AC16"/>
    <mergeCell ref="AD16:AH16"/>
    <mergeCell ref="A1:C2"/>
    <mergeCell ref="A5:A16"/>
    <mergeCell ref="B5:B11"/>
    <mergeCell ref="B12:B15"/>
    <mergeCell ref="B16:C16"/>
    <mergeCell ref="D16:H1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12</v>
      </c>
      <c r="E1" s="37" t="s">
        <v>11</v>
      </c>
      <c r="F1" s="55" t="s">
        <v>17</v>
      </c>
      <c r="G1" s="36" t="s">
        <v>16</v>
      </c>
      <c r="H1" s="37" t="s">
        <v>15</v>
      </c>
      <c r="I1" s="36" t="s">
        <v>14</v>
      </c>
      <c r="J1" s="36" t="s">
        <v>13</v>
      </c>
      <c r="K1" s="36" t="s">
        <v>12</v>
      </c>
      <c r="L1" s="37" t="s">
        <v>11</v>
      </c>
      <c r="M1" s="55" t="s">
        <v>17</v>
      </c>
      <c r="N1" s="36" t="s">
        <v>16</v>
      </c>
      <c r="O1" s="37" t="s">
        <v>15</v>
      </c>
      <c r="P1" s="36" t="s">
        <v>14</v>
      </c>
      <c r="Q1" s="36" t="s">
        <v>13</v>
      </c>
      <c r="R1" s="36" t="s">
        <v>12</v>
      </c>
      <c r="S1" s="37" t="s">
        <v>11</v>
      </c>
      <c r="T1" s="55" t="s">
        <v>17</v>
      </c>
      <c r="U1" s="36" t="s">
        <v>16</v>
      </c>
      <c r="V1" s="37" t="s">
        <v>15</v>
      </c>
      <c r="W1" s="36" t="s">
        <v>14</v>
      </c>
      <c r="X1" s="36" t="s">
        <v>13</v>
      </c>
      <c r="Y1" s="36" t="s">
        <v>12</v>
      </c>
      <c r="Z1" s="37" t="s">
        <v>11</v>
      </c>
      <c r="AA1" s="55" t="s">
        <v>17</v>
      </c>
      <c r="AB1" s="36" t="s">
        <v>16</v>
      </c>
      <c r="AC1" s="37" t="s">
        <v>15</v>
      </c>
      <c r="AD1" s="36" t="s">
        <v>14</v>
      </c>
      <c r="AE1" s="36" t="s">
        <v>13</v>
      </c>
      <c r="AF1" s="36" t="s">
        <v>12</v>
      </c>
      <c r="AG1" s="37" t="s">
        <v>11</v>
      </c>
      <c r="AH1" s="55" t="s">
        <v>17</v>
      </c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/>
      <c r="K3" s="15">
        <v>544</v>
      </c>
      <c r="L3" s="15"/>
      <c r="M3" s="15"/>
      <c r="N3" s="15"/>
      <c r="O3" s="15"/>
      <c r="P3" s="15"/>
      <c r="Q3" s="15"/>
      <c r="R3" s="15"/>
      <c r="S3" s="15"/>
      <c r="T3" s="15"/>
      <c r="U3" s="15">
        <v>700</v>
      </c>
      <c r="V3" s="15"/>
      <c r="W3" s="15"/>
      <c r="X3" s="15"/>
      <c r="Y3" s="15">
        <v>1000</v>
      </c>
      <c r="Z3" s="15"/>
      <c r="AA3" s="15"/>
      <c r="AB3" s="15"/>
      <c r="AC3" s="14"/>
      <c r="AD3" s="15"/>
      <c r="AE3" s="17"/>
      <c r="AF3" s="15"/>
      <c r="AG3" s="17"/>
      <c r="AH3" s="15"/>
      <c r="AI3" s="104">
        <f>(AJ3+AJ4)/31</f>
        <v>78.064516129032256</v>
      </c>
      <c r="AJ3" s="48">
        <f>SUM(D3:AH3)</f>
        <v>2244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/>
      <c r="E4" s="18"/>
      <c r="F4" s="18"/>
      <c r="G4" s="18"/>
      <c r="H4" s="18"/>
      <c r="I4" s="18">
        <v>5</v>
      </c>
      <c r="J4" s="19">
        <v>5</v>
      </c>
      <c r="K4" s="18"/>
      <c r="L4" s="18">
        <v>10</v>
      </c>
      <c r="M4" s="18"/>
      <c r="N4" s="18"/>
      <c r="O4" s="18"/>
      <c r="P4" s="18"/>
      <c r="Q4" s="18">
        <v>12</v>
      </c>
      <c r="R4" s="18"/>
      <c r="S4" s="18">
        <v>50</v>
      </c>
      <c r="T4" s="18"/>
      <c r="U4" s="18"/>
      <c r="V4" s="18"/>
      <c r="W4" s="18">
        <v>9</v>
      </c>
      <c r="X4" s="18"/>
      <c r="Y4" s="18">
        <v>50</v>
      </c>
      <c r="Z4" s="18">
        <v>10</v>
      </c>
      <c r="AA4" s="18"/>
      <c r="AB4" s="18"/>
      <c r="AC4" s="20"/>
      <c r="AD4" s="18"/>
      <c r="AE4" s="19">
        <v>5</v>
      </c>
      <c r="AF4" s="18">
        <v>5</v>
      </c>
      <c r="AG4" s="19">
        <v>15</v>
      </c>
      <c r="AH4" s="18"/>
      <c r="AI4" s="105"/>
      <c r="AJ4" s="48">
        <f>SUM(D4:AH4)</f>
        <v>176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/>
      <c r="E5" s="2"/>
      <c r="F5" s="2">
        <v>10</v>
      </c>
      <c r="G5" s="2">
        <v>7</v>
      </c>
      <c r="H5" s="2">
        <v>31</v>
      </c>
      <c r="I5" s="2"/>
      <c r="J5" s="22"/>
      <c r="K5" s="2">
        <v>50</v>
      </c>
      <c r="L5" s="2">
        <v>12</v>
      </c>
      <c r="M5" s="2">
        <v>22</v>
      </c>
      <c r="N5" s="2">
        <v>8</v>
      </c>
      <c r="O5" s="2"/>
      <c r="P5" s="2"/>
      <c r="Q5" s="2"/>
      <c r="R5" s="2"/>
      <c r="S5" s="2"/>
      <c r="T5" s="2"/>
      <c r="U5" s="2">
        <v>8</v>
      </c>
      <c r="V5" s="2"/>
      <c r="W5" s="2"/>
      <c r="X5" s="2"/>
      <c r="Y5" s="2"/>
      <c r="Z5" s="2"/>
      <c r="AA5" s="2">
        <v>6</v>
      </c>
      <c r="AB5" s="2"/>
      <c r="AC5" s="21"/>
      <c r="AD5" s="2"/>
      <c r="AE5" s="23"/>
      <c r="AF5" s="2">
        <v>27</v>
      </c>
      <c r="AG5" s="23"/>
      <c r="AH5" s="2"/>
      <c r="AI5" s="43">
        <f t="shared" ref="AI5:AI16" si="0">AJ5/31</f>
        <v>5.838709677419355</v>
      </c>
      <c r="AJ5" s="32">
        <f>SUM(D5,E5,F5,G5,H5,I5,J5,K5,L5,M5,N5,O5,P5,Q5,R5,S5,T5,U5,V5,W5,X5,Y5,Z5,AA5,AB5,AC5,AD5,AE5,AF5,AG5,AH5)</f>
        <v>181</v>
      </c>
      <c r="AK5" s="3">
        <f>(AJ5/(AJ3+AJ4))*100</f>
        <v>7.4793388429752072</v>
      </c>
    </row>
    <row r="6" spans="1:37" ht="18.95" customHeight="1" x14ac:dyDescent="0.3">
      <c r="A6" s="88"/>
      <c r="B6" s="90"/>
      <c r="C6" s="60" t="s">
        <v>6</v>
      </c>
      <c r="D6" s="4"/>
      <c r="E6" s="4"/>
      <c r="F6" s="4">
        <v>20</v>
      </c>
      <c r="G6" s="4">
        <v>18</v>
      </c>
      <c r="H6" s="4"/>
      <c r="I6" s="4">
        <v>33</v>
      </c>
      <c r="J6" s="24">
        <v>15</v>
      </c>
      <c r="K6" s="4"/>
      <c r="L6" s="4">
        <v>48</v>
      </c>
      <c r="M6" s="4">
        <v>12</v>
      </c>
      <c r="N6" s="4"/>
      <c r="O6" s="4"/>
      <c r="P6" s="4">
        <v>17</v>
      </c>
      <c r="Q6" s="4">
        <v>30</v>
      </c>
      <c r="R6" s="4"/>
      <c r="S6" s="4">
        <v>33</v>
      </c>
      <c r="T6" s="4"/>
      <c r="U6" s="4"/>
      <c r="V6" s="4">
        <v>12</v>
      </c>
      <c r="W6" s="4">
        <v>33</v>
      </c>
      <c r="X6" s="4"/>
      <c r="Y6" s="4"/>
      <c r="Z6" s="4">
        <v>33</v>
      </c>
      <c r="AA6" s="4">
        <v>6</v>
      </c>
      <c r="AB6" s="4"/>
      <c r="AC6" s="25">
        <v>25</v>
      </c>
      <c r="AD6" s="4"/>
      <c r="AE6" s="24">
        <v>33</v>
      </c>
      <c r="AF6" s="4"/>
      <c r="AG6" s="24">
        <v>33</v>
      </c>
      <c r="AH6" s="4">
        <v>30</v>
      </c>
      <c r="AI6" s="44">
        <f t="shared" si="0"/>
        <v>13.903225806451612</v>
      </c>
      <c r="AJ6" s="33">
        <f>SUM(D6,E6,F6,G6,H6,I6,J6,K6,L6,M6,N6,O6,P6,Q6,R6,S6,T6,U6,V6,W6,X6,Y6,Z6,AA6,AB6,AC6,AD6,AE6,AF6,AG6,AH6)</f>
        <v>431</v>
      </c>
      <c r="AK6" s="5">
        <f>(AJ6/(AJ3+AJ4))*100</f>
        <v>17.809917355371901</v>
      </c>
    </row>
    <row r="7" spans="1:37" ht="18.95" customHeight="1" x14ac:dyDescent="0.3">
      <c r="A7" s="88"/>
      <c r="B7" s="90"/>
      <c r="C7" s="60" t="s">
        <v>21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>
        <v>80</v>
      </c>
      <c r="AC7" s="25"/>
      <c r="AD7" s="4"/>
      <c r="AE7" s="24"/>
      <c r="AF7" s="4"/>
      <c r="AG7" s="24"/>
      <c r="AH7" s="4"/>
      <c r="AI7" s="44">
        <f t="shared" si="0"/>
        <v>2.5806451612903225</v>
      </c>
      <c r="AJ7" s="33">
        <f>SUM(D7,E7,F7,G7,H7,I7,J7,K7,L7,M7,N7,O7,P7,Q7,R7,S7,T7,U7,V7,W7,X7,Y7,Z7,AA7,AB7,AC7,AD7,AE7,AF7,AG7,AH7)</f>
        <v>80</v>
      </c>
      <c r="AK7" s="5">
        <f>(AJ7/(AJ3+AJ4))*100</f>
        <v>3.3057851239669422</v>
      </c>
    </row>
    <row r="8" spans="1:37" ht="18.95" customHeight="1" x14ac:dyDescent="0.3">
      <c r="A8" s="88"/>
      <c r="B8" s="90"/>
      <c r="C8" s="61" t="s">
        <v>22</v>
      </c>
      <c r="D8" s="38"/>
      <c r="E8" s="39">
        <v>3</v>
      </c>
      <c r="F8" s="39"/>
      <c r="G8" s="39"/>
      <c r="H8" s="39"/>
      <c r="I8" s="39"/>
      <c r="J8" s="40"/>
      <c r="K8" s="39"/>
      <c r="L8" s="39"/>
      <c r="M8" s="39"/>
      <c r="N8" s="39">
        <v>14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/>
      <c r="AF8" s="39"/>
      <c r="AG8" s="40"/>
      <c r="AH8" s="39"/>
      <c r="AI8" s="47">
        <f t="shared" si="0"/>
        <v>0.54838709677419351</v>
      </c>
      <c r="AJ8" s="41">
        <f>SUM(D8,E8,F8,G8,H8,I8,J8,K8,L8,M8,N8,O8,P8,Q8,R8,S8,T8,U8,V8,W8,X8,Y8,Z8,AA8,AB8,AC8,AD8,AE8,AF8,AG8,AH8)</f>
        <v>17</v>
      </c>
      <c r="AK8" s="42">
        <f>(AJ8/(AJ3+AJ4))*100</f>
        <v>0.7024793388429752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>
        <v>100</v>
      </c>
      <c r="AB9" s="2"/>
      <c r="AC9" s="21"/>
      <c r="AD9" s="2"/>
      <c r="AE9" s="23"/>
      <c r="AF9" s="2"/>
      <c r="AG9" s="23"/>
      <c r="AH9" s="2"/>
      <c r="AI9" s="43">
        <f t="shared" si="0"/>
        <v>3.225806451612903</v>
      </c>
      <c r="AJ9" s="32">
        <f>SUM(D9,E9,F9,G9,H9,I9,J9,K9,L9,M9,N9,O9,P9,Q9,R9,S9,T9,U9,V9,W9,X9,Y9,Z9,AA9,AB9,AC9,AD9,AE9,AF9,AG9,AH9)</f>
        <v>100</v>
      </c>
      <c r="AK9" s="3">
        <f>(AJ9/(AJ3+AJ4))*100</f>
        <v>4.1322314049586781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8</v>
      </c>
      <c r="D11" s="21"/>
      <c r="E11" s="2"/>
      <c r="F11" s="2"/>
      <c r="G11" s="2"/>
      <c r="H11" s="2"/>
      <c r="I11" s="2"/>
      <c r="J11" s="22"/>
      <c r="K11" s="2"/>
      <c r="L11" s="2"/>
      <c r="M11" s="2">
        <v>467</v>
      </c>
      <c r="N11" s="2"/>
      <c r="O11" s="2"/>
      <c r="P11" s="2">
        <v>9</v>
      </c>
      <c r="Q11" s="2"/>
      <c r="R11" s="2">
        <v>5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15.516129032258064</v>
      </c>
      <c r="AJ11" s="32">
        <f>SUM(D11,E11,F11,G11,H11,I11,J11,K11,L11,M11,N11,O11,P11,Q11,R11,S11,T11,U11,V11,W11,X11,Y11,Z11,AA11,AB11,AC11,AD11,AE11,AF11,AG11,AH11)</f>
        <v>481</v>
      </c>
      <c r="AK11" s="3">
        <f>(AJ11/(AJ3+AJ4))*100</f>
        <v>19.876033057851238</v>
      </c>
    </row>
    <row r="12" spans="1:37" ht="18.95" customHeight="1" x14ac:dyDescent="0.3">
      <c r="A12" s="88"/>
      <c r="B12" s="91" t="s">
        <v>4</v>
      </c>
      <c r="C12" s="62" t="s">
        <v>9</v>
      </c>
      <c r="D12" s="6"/>
      <c r="E12" s="6"/>
      <c r="F12" s="6">
        <v>39</v>
      </c>
      <c r="G12" s="6">
        <v>41</v>
      </c>
      <c r="H12" s="6"/>
      <c r="I12" s="6">
        <v>24</v>
      </c>
      <c r="J12" s="26">
        <v>35</v>
      </c>
      <c r="K12" s="6"/>
      <c r="L12" s="6">
        <v>82</v>
      </c>
      <c r="M12" s="6"/>
      <c r="N12" s="6"/>
      <c r="O12" s="6"/>
      <c r="P12" s="6">
        <v>88</v>
      </c>
      <c r="Q12" s="6">
        <v>40</v>
      </c>
      <c r="R12" s="6">
        <v>40</v>
      </c>
      <c r="S12" s="6"/>
      <c r="T12" s="6"/>
      <c r="U12" s="6"/>
      <c r="V12" s="6"/>
      <c r="W12" s="6"/>
      <c r="X12" s="6"/>
      <c r="Y12" s="6"/>
      <c r="Z12" s="6">
        <v>40</v>
      </c>
      <c r="AA12" s="6"/>
      <c r="AB12" s="6"/>
      <c r="AC12" s="27">
        <v>60</v>
      </c>
      <c r="AD12" s="6">
        <v>38</v>
      </c>
      <c r="AE12" s="26">
        <v>22</v>
      </c>
      <c r="AF12" s="6"/>
      <c r="AG12" s="26"/>
      <c r="AH12" s="6">
        <v>50</v>
      </c>
      <c r="AI12" s="45">
        <f t="shared" si="0"/>
        <v>19.322580645161292</v>
      </c>
      <c r="AJ12" s="34">
        <f>SUM(D12,E12,F12,G12,H12,I12,J12,K12,L12,M12,N12,O12,P12,Q12,R12,S12,T12,U12,V12,W12,X12,Y12,Z12,AA12,AB12,AC12,AD12,AE12,AF12,AG12,AH12)</f>
        <v>599</v>
      </c>
      <c r="AK12" s="7">
        <f>(AJ12/(AJ3+AJ4))*100</f>
        <v>24.75206611570248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>
        <v>22</v>
      </c>
      <c r="S13" s="8"/>
      <c r="T13" s="8"/>
      <c r="U13" s="8"/>
      <c r="V13" s="8"/>
      <c r="W13" s="8"/>
      <c r="X13" s="8"/>
      <c r="Y13" s="8"/>
      <c r="Z13" s="8">
        <v>23</v>
      </c>
      <c r="AA13" s="8"/>
      <c r="AB13" s="8"/>
      <c r="AC13" s="28">
        <v>25</v>
      </c>
      <c r="AD13" s="8"/>
      <c r="AE13" s="30"/>
      <c r="AF13" s="8"/>
      <c r="AG13" s="30"/>
      <c r="AH13" s="8"/>
      <c r="AI13" s="46">
        <f t="shared" si="0"/>
        <v>2.2580645161290325</v>
      </c>
      <c r="AJ13" s="35">
        <f t="shared" si="1"/>
        <v>70</v>
      </c>
      <c r="AK13" s="9">
        <f>(AJ13/(AJ3+AJ4))*100</f>
        <v>2.8925619834710745</v>
      </c>
    </row>
    <row r="14" spans="1:37" ht="18.95" customHeight="1" x14ac:dyDescent="0.3">
      <c r="A14" s="88"/>
      <c r="B14" s="92"/>
      <c r="C14" s="56" t="s">
        <v>28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>
        <v>34</v>
      </c>
      <c r="AF14" s="6"/>
      <c r="AG14" s="26"/>
      <c r="AH14" s="6"/>
      <c r="AI14" s="45">
        <f t="shared" si="0"/>
        <v>1.096774193548387</v>
      </c>
      <c r="AJ14" s="34">
        <f t="shared" si="1"/>
        <v>34</v>
      </c>
      <c r="AK14" s="7">
        <f>(AJ14/(AJ3+AJ4))*100</f>
        <v>1.4049586776859504</v>
      </c>
    </row>
    <row r="15" spans="1:37" ht="18.95" customHeight="1" x14ac:dyDescent="0.3">
      <c r="A15" s="88"/>
      <c r="B15" s="93"/>
      <c r="C15" s="62" t="s">
        <v>4</v>
      </c>
      <c r="D15" s="51"/>
      <c r="E15" s="51"/>
      <c r="F15" s="51"/>
      <c r="G15" s="51"/>
      <c r="H15" s="51"/>
      <c r="I15" s="51"/>
      <c r="J15" s="50"/>
      <c r="K15" s="51"/>
      <c r="L15" s="51"/>
      <c r="M15" s="51"/>
      <c r="N15" s="51"/>
      <c r="O15" s="51"/>
      <c r="P15" s="51"/>
      <c r="Q15" s="51">
        <v>54</v>
      </c>
      <c r="R15" s="51">
        <v>150</v>
      </c>
      <c r="S15" s="51"/>
      <c r="T15" s="51"/>
      <c r="U15" s="51"/>
      <c r="V15" s="51"/>
      <c r="W15" s="51"/>
      <c r="X15" s="51"/>
      <c r="Y15" s="51"/>
      <c r="Z15" s="51">
        <v>25</v>
      </c>
      <c r="AA15" s="51"/>
      <c r="AB15" s="51"/>
      <c r="AC15" s="52">
        <v>65</v>
      </c>
      <c r="AD15" s="51">
        <v>60</v>
      </c>
      <c r="AE15" s="50"/>
      <c r="AF15" s="51">
        <v>25</v>
      </c>
      <c r="AG15" s="50"/>
      <c r="AH15" s="51"/>
      <c r="AI15" s="45">
        <f t="shared" si="0"/>
        <v>12.225806451612904</v>
      </c>
      <c r="AJ15" s="34">
        <f>SUM(D15,E15,F15,G15,H15,I15,J15,K15,L15,M15,N15,O15,P15,Q15,R15,S15,T15,U15,V15,W15,X15,Y15,Z15,AA15,AB15,AC15,AD15,AE15,AF15,AG15,AH15)</f>
        <v>379</v>
      </c>
      <c r="AK15" s="7">
        <f>(AJ15/(AJ3+AJ4))*100</f>
        <v>15.661157024793388</v>
      </c>
    </row>
    <row r="16" spans="1:37" ht="18.399999999999999" customHeight="1" x14ac:dyDescent="0.3">
      <c r="A16" s="89"/>
      <c r="B16" s="80" t="s">
        <v>10</v>
      </c>
      <c r="C16" s="81"/>
      <c r="D16" s="80">
        <f>SUM(D5:E15)+531</f>
        <v>534</v>
      </c>
      <c r="E16" s="82"/>
      <c r="F16" s="80">
        <f>SUM(F5:L15)</f>
        <v>465</v>
      </c>
      <c r="G16" s="81"/>
      <c r="H16" s="81"/>
      <c r="I16" s="81"/>
      <c r="J16" s="81"/>
      <c r="K16" s="81"/>
      <c r="L16" s="82"/>
      <c r="M16" s="80">
        <f>SUM(M5:S15)</f>
        <v>1011</v>
      </c>
      <c r="N16" s="81"/>
      <c r="O16" s="81"/>
      <c r="P16" s="81"/>
      <c r="Q16" s="81"/>
      <c r="R16" s="81"/>
      <c r="S16" s="82"/>
      <c r="T16" s="80">
        <f>SUM(T5:Z15)</f>
        <v>174</v>
      </c>
      <c r="U16" s="81"/>
      <c r="V16" s="81"/>
      <c r="W16" s="81"/>
      <c r="X16" s="81"/>
      <c r="Y16" s="81"/>
      <c r="Z16" s="82"/>
      <c r="AA16" s="80">
        <f>SUM(AA5:AG15)</f>
        <v>639</v>
      </c>
      <c r="AB16" s="81"/>
      <c r="AC16" s="81"/>
      <c r="AD16" s="81"/>
      <c r="AE16" s="81"/>
      <c r="AF16" s="81"/>
      <c r="AG16" s="82"/>
      <c r="AH16" s="75"/>
      <c r="AI16" s="53">
        <f t="shared" si="0"/>
        <v>76.516129032258064</v>
      </c>
      <c r="AJ16" s="49">
        <f>SUM(AJ5,AJ6,AJ7,AJ8,AJ9,AJ10,AJ11,AJ12,AJ13,AJ14,AJ15)</f>
        <v>2372</v>
      </c>
      <c r="AK16" s="10">
        <f>SUM(AK5,AK6,AK7,AK8,AK9,AK10,AK11,AK12,AK13,AK14,AK15)</f>
        <v>98.016528925619824</v>
      </c>
    </row>
    <row r="17" spans="1:37" ht="18" customHeight="1" x14ac:dyDescent="0.3">
      <c r="A17" s="114" t="s">
        <v>26</v>
      </c>
      <c r="B17" s="114"/>
      <c r="C17" s="115"/>
      <c r="D17" s="116">
        <v>2930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4"/>
    </row>
    <row r="18" spans="1:37" ht="18" customHeight="1" x14ac:dyDescent="0.3">
      <c r="A18" s="109" t="s">
        <v>20</v>
      </c>
      <c r="B18" s="109"/>
      <c r="C18" s="110"/>
      <c r="D18" s="120">
        <f>((AJ3+AJ4+D17)-AJ16)-D17</f>
        <v>48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1.9834710743801653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2978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2">
    <mergeCell ref="A19:C19"/>
    <mergeCell ref="D19:AJ19"/>
    <mergeCell ref="D16:E16"/>
    <mergeCell ref="F16:L16"/>
    <mergeCell ref="M16:S16"/>
    <mergeCell ref="T16:Z16"/>
    <mergeCell ref="AA16:AG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16</v>
      </c>
      <c r="E1" s="37" t="s">
        <v>15</v>
      </c>
      <c r="F1" s="36" t="s">
        <v>14</v>
      </c>
      <c r="G1" s="36" t="s">
        <v>13</v>
      </c>
      <c r="H1" s="36" t="s">
        <v>12</v>
      </c>
      <c r="I1" s="37" t="s">
        <v>11</v>
      </c>
      <c r="J1" s="55" t="s">
        <v>17</v>
      </c>
      <c r="K1" s="36" t="s">
        <v>16</v>
      </c>
      <c r="L1" s="37" t="s">
        <v>15</v>
      </c>
      <c r="M1" s="36" t="s">
        <v>14</v>
      </c>
      <c r="N1" s="36" t="s">
        <v>13</v>
      </c>
      <c r="O1" s="36" t="s">
        <v>12</v>
      </c>
      <c r="P1" s="37" t="s">
        <v>11</v>
      </c>
      <c r="Q1" s="55" t="s">
        <v>17</v>
      </c>
      <c r="R1" s="36" t="s">
        <v>16</v>
      </c>
      <c r="S1" s="37" t="s">
        <v>15</v>
      </c>
      <c r="T1" s="36" t="s">
        <v>14</v>
      </c>
      <c r="U1" s="36" t="s">
        <v>13</v>
      </c>
      <c r="V1" s="36" t="s">
        <v>12</v>
      </c>
      <c r="W1" s="37" t="s">
        <v>11</v>
      </c>
      <c r="X1" s="55" t="s">
        <v>17</v>
      </c>
      <c r="Y1" s="36" t="s">
        <v>16</v>
      </c>
      <c r="Z1" s="37" t="s">
        <v>15</v>
      </c>
      <c r="AA1" s="36" t="s">
        <v>14</v>
      </c>
      <c r="AB1" s="36" t="s">
        <v>13</v>
      </c>
      <c r="AC1" s="36" t="s">
        <v>12</v>
      </c>
      <c r="AD1" s="37" t="s">
        <v>11</v>
      </c>
      <c r="AE1" s="55" t="s">
        <v>17</v>
      </c>
      <c r="AF1" s="36" t="s">
        <v>16</v>
      </c>
      <c r="AG1" s="37" t="s">
        <v>15</v>
      </c>
      <c r="AH1" s="55"/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/>
      <c r="K3" s="15">
        <v>683</v>
      </c>
      <c r="L3" s="15"/>
      <c r="M3" s="15"/>
      <c r="N3" s="15"/>
      <c r="O3" s="15"/>
      <c r="P3" s="15"/>
      <c r="Q3" s="15"/>
      <c r="R3" s="15"/>
      <c r="S3" s="15"/>
      <c r="T3" s="15"/>
      <c r="U3" s="15">
        <v>1000</v>
      </c>
      <c r="V3" s="15"/>
      <c r="W3" s="15"/>
      <c r="X3" s="15"/>
      <c r="Y3" s="15"/>
      <c r="Z3" s="15"/>
      <c r="AA3" s="15"/>
      <c r="AB3" s="15">
        <v>700</v>
      </c>
      <c r="AC3" s="14"/>
      <c r="AD3" s="15"/>
      <c r="AE3" s="17"/>
      <c r="AF3" s="15"/>
      <c r="AG3" s="17"/>
      <c r="AH3" s="15"/>
      <c r="AI3" s="104">
        <f>(AJ3+AJ4)/31</f>
        <v>97.225806451612897</v>
      </c>
      <c r="AJ3" s="48">
        <f>SUM(D3:AH3)</f>
        <v>2383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/>
      <c r="E4" s="18"/>
      <c r="F4" s="18">
        <v>5</v>
      </c>
      <c r="G4" s="18"/>
      <c r="H4" s="18"/>
      <c r="I4" s="18">
        <v>5</v>
      </c>
      <c r="J4" s="19"/>
      <c r="K4" s="18"/>
      <c r="L4" s="18"/>
      <c r="M4" s="18"/>
      <c r="N4" s="18">
        <v>5</v>
      </c>
      <c r="O4" s="18">
        <v>10</v>
      </c>
      <c r="P4" s="18"/>
      <c r="Q4" s="18"/>
      <c r="R4" s="18"/>
      <c r="S4" s="18"/>
      <c r="T4" s="18"/>
      <c r="U4" s="18">
        <v>30</v>
      </c>
      <c r="V4" s="18">
        <v>50</v>
      </c>
      <c r="W4" s="18"/>
      <c r="X4" s="18"/>
      <c r="Y4" s="18"/>
      <c r="Z4" s="18"/>
      <c r="AA4" s="18"/>
      <c r="AB4" s="18"/>
      <c r="AC4" s="20">
        <v>526</v>
      </c>
      <c r="AD4" s="18"/>
      <c r="AE4" s="19"/>
      <c r="AF4" s="18"/>
      <c r="AG4" s="19"/>
      <c r="AH4" s="18"/>
      <c r="AI4" s="105"/>
      <c r="AJ4" s="48">
        <f>SUM(D4:AH4)</f>
        <v>631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/>
      <c r="E5" s="2">
        <v>30</v>
      </c>
      <c r="F5" s="2"/>
      <c r="G5" s="2"/>
      <c r="H5" s="2">
        <v>25</v>
      </c>
      <c r="I5" s="2"/>
      <c r="J5" s="22">
        <v>17</v>
      </c>
      <c r="K5" s="2"/>
      <c r="L5" s="2">
        <v>58</v>
      </c>
      <c r="M5" s="2">
        <v>4</v>
      </c>
      <c r="N5" s="2"/>
      <c r="O5" s="2"/>
      <c r="P5" s="2">
        <v>8</v>
      </c>
      <c r="Q5" s="2"/>
      <c r="R5" s="2">
        <v>26</v>
      </c>
      <c r="S5" s="2">
        <v>40</v>
      </c>
      <c r="T5" s="2">
        <v>18</v>
      </c>
      <c r="U5" s="2"/>
      <c r="V5" s="2"/>
      <c r="W5" s="2"/>
      <c r="X5" s="2"/>
      <c r="Y5" s="2">
        <v>6</v>
      </c>
      <c r="Z5" s="2"/>
      <c r="AA5" s="2">
        <v>16</v>
      </c>
      <c r="AB5" s="2"/>
      <c r="AC5" s="21"/>
      <c r="AD5" s="2"/>
      <c r="AE5" s="23">
        <v>13</v>
      </c>
      <c r="AF5" s="2"/>
      <c r="AG5" s="23">
        <v>15</v>
      </c>
      <c r="AH5" s="2"/>
      <c r="AI5" s="43">
        <f t="shared" ref="AI5:AI16" si="0">AJ5/31</f>
        <v>8.9032258064516121</v>
      </c>
      <c r="AJ5" s="32">
        <f>SUM(D5,E5,F5,G5,H5,I5,J5,K5,L5,M5,N5,O5,P5,Q5,R5,S5,T5,U5,V5,W5,X5,Y5,Z5,AA5,AB5,AC5,AD5,AE5,AF5,AG5,AH5)</f>
        <v>276</v>
      </c>
      <c r="AK5" s="3">
        <f>(AJ5/(AJ3+AJ4))*100</f>
        <v>9.1572660915726605</v>
      </c>
    </row>
    <row r="6" spans="1:37" ht="18.95" customHeight="1" x14ac:dyDescent="0.3">
      <c r="A6" s="88"/>
      <c r="B6" s="90"/>
      <c r="C6" s="60" t="s">
        <v>6</v>
      </c>
      <c r="D6" s="4"/>
      <c r="E6" s="4">
        <v>13</v>
      </c>
      <c r="F6" s="4">
        <v>33</v>
      </c>
      <c r="G6" s="4"/>
      <c r="H6" s="4"/>
      <c r="I6" s="4">
        <v>33</v>
      </c>
      <c r="J6" s="24">
        <v>13</v>
      </c>
      <c r="K6" s="4"/>
      <c r="L6" s="4">
        <v>9</v>
      </c>
      <c r="M6" s="4">
        <v>6</v>
      </c>
      <c r="N6" s="4">
        <v>33</v>
      </c>
      <c r="O6" s="4"/>
      <c r="P6" s="4">
        <v>33</v>
      </c>
      <c r="Q6" s="4">
        <v>15</v>
      </c>
      <c r="R6" s="4"/>
      <c r="S6" s="4">
        <v>21</v>
      </c>
      <c r="T6" s="4">
        <v>6</v>
      </c>
      <c r="U6" s="4">
        <v>36</v>
      </c>
      <c r="V6" s="4">
        <v>39</v>
      </c>
      <c r="W6" s="4">
        <v>7</v>
      </c>
      <c r="X6" s="4">
        <v>6</v>
      </c>
      <c r="Y6" s="4">
        <v>6</v>
      </c>
      <c r="Z6" s="4">
        <v>37</v>
      </c>
      <c r="AA6" s="4">
        <v>7</v>
      </c>
      <c r="AB6" s="4">
        <v>42</v>
      </c>
      <c r="AC6" s="25"/>
      <c r="AD6" s="4">
        <v>25</v>
      </c>
      <c r="AE6" s="24"/>
      <c r="AF6" s="4">
        <v>5</v>
      </c>
      <c r="AG6" s="24">
        <v>5</v>
      </c>
      <c r="AH6" s="4"/>
      <c r="AI6" s="44">
        <f t="shared" si="0"/>
        <v>13.870967741935484</v>
      </c>
      <c r="AJ6" s="33">
        <f>SUM(D6,E6,F6,G6,H6,I6,J6,K6,L6,M6,N6,O6,P6,Q6,R6,S6,T6,U6,V6,W6,X6,Y6,Z6,AA6,AB6,AC6,AD6,AE6,AF6,AG6,AH6)</f>
        <v>430</v>
      </c>
      <c r="AK6" s="5">
        <f>(AJ6/(AJ3+AJ4))*100</f>
        <v>14.266755142667551</v>
      </c>
    </row>
    <row r="7" spans="1:37" ht="18.95" customHeight="1" x14ac:dyDescent="0.3">
      <c r="A7" s="88"/>
      <c r="B7" s="90"/>
      <c r="C7" s="60" t="s">
        <v>21</v>
      </c>
      <c r="D7" s="25"/>
      <c r="E7" s="4"/>
      <c r="F7" s="4"/>
      <c r="G7" s="4"/>
      <c r="H7" s="4"/>
      <c r="I7" s="4"/>
      <c r="J7" s="24">
        <v>180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5.806451612903226</v>
      </c>
      <c r="AJ7" s="33">
        <f>SUM(D7,E7,F7,G7,H7,I7,J7,K7,L7,M7,N7,O7,P7,Q7,R7,S7,T7,U7,V7,W7,X7,Y7,Z7,AA7,AB7,AC7,AD7,AE7,AF7,AG7,AH7)</f>
        <v>180</v>
      </c>
      <c r="AK7" s="5">
        <f>(AJ7/(AJ3+AJ4))*100</f>
        <v>5.9721300597213007</v>
      </c>
    </row>
    <row r="8" spans="1:37" ht="18.95" customHeight="1" x14ac:dyDescent="0.3">
      <c r="A8" s="88"/>
      <c r="B8" s="90"/>
      <c r="C8" s="61" t="s">
        <v>22</v>
      </c>
      <c r="D8" s="38"/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8">
        <v>350</v>
      </c>
      <c r="AD8" s="39"/>
      <c r="AE8" s="40"/>
      <c r="AF8" s="39">
        <v>5</v>
      </c>
      <c r="AG8" s="40"/>
      <c r="AH8" s="39"/>
      <c r="AI8" s="47">
        <f t="shared" si="0"/>
        <v>11.451612903225806</v>
      </c>
      <c r="AJ8" s="41">
        <f>SUM(D8,E8,F8,G8,H8,I8,J8,K8,L8,M8,N8,O8,P8,Q8,R8,S8,T8,U8,V8,W8,X8,Y8,Z8,AA8,AB8,AC8,AD8,AE8,AF8,AG8,AH8)</f>
        <v>355</v>
      </c>
      <c r="AK8" s="42">
        <f>(AJ8/(AJ3+AJ4))*100</f>
        <v>11.778367617783676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>
        <v>270</v>
      </c>
      <c r="AF9" s="2">
        <v>74</v>
      </c>
      <c r="AG9" s="23"/>
      <c r="AH9" s="2"/>
      <c r="AI9" s="43">
        <f t="shared" si="0"/>
        <v>11.096774193548388</v>
      </c>
      <c r="AJ9" s="32">
        <f>SUM(D9,E9,F9,G9,H9,I9,J9,K9,L9,M9,N9,O9,P9,Q9,R9,S9,T9,U9,V9,W9,X9,Y9,Z9,AA9,AB9,AC9,AD9,AE9,AF9,AG9,AH9)</f>
        <v>344</v>
      </c>
      <c r="AK9" s="3">
        <f>(AJ9/(AJ3+AJ4))*100</f>
        <v>11.413404114134043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>
        <v>20</v>
      </c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0.64516129032258063</v>
      </c>
      <c r="AJ10" s="33">
        <f t="shared" ref="AJ10:AJ14" si="1">SUM(D10,E10,F10,G10,H10,I10,J10,K10,L10,M10,N10,O10,P10,Q10,R10,S10,T10,U10,V10,W10,X10,Y10,Z10,AA10,AB10,AC10,AD10,AE10,AF10,AG10,AH10)</f>
        <v>20</v>
      </c>
      <c r="AK10" s="5">
        <f>(AJ10/(AJ3+AJ4))*100</f>
        <v>0.66357000663570009</v>
      </c>
    </row>
    <row r="11" spans="1:37" ht="18.95" customHeight="1" x14ac:dyDescent="0.3">
      <c r="A11" s="88"/>
      <c r="B11" s="90"/>
      <c r="C11" s="60" t="s">
        <v>8</v>
      </c>
      <c r="D11" s="21"/>
      <c r="E11" s="2"/>
      <c r="F11" s="2"/>
      <c r="G11" s="2"/>
      <c r="H11" s="2">
        <v>55</v>
      </c>
      <c r="I11" s="2"/>
      <c r="J11" s="2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1">
        <v>25</v>
      </c>
      <c r="AD11" s="2"/>
      <c r="AE11" s="23"/>
      <c r="AF11" s="2"/>
      <c r="AG11" s="23"/>
      <c r="AH11" s="2"/>
      <c r="AI11" s="43">
        <f t="shared" si="0"/>
        <v>2.5806451612903225</v>
      </c>
      <c r="AJ11" s="32">
        <f>SUM(D11,E11,F11,G11,H11,I11,J11,K11,L11,M11,N11,O11,P11,Q11,R11,S11,T11,U11,V11,W11,X11,Y11,Z11,AA11,AB11,AC11,AD11,AE11,AF11,AG11,AH11)</f>
        <v>80</v>
      </c>
      <c r="AK11" s="3">
        <f>(AJ11/(AJ3+AJ4))*100</f>
        <v>2.6542800265428004</v>
      </c>
    </row>
    <row r="12" spans="1:37" ht="18.95" customHeight="1" x14ac:dyDescent="0.3">
      <c r="A12" s="88"/>
      <c r="B12" s="91" t="s">
        <v>4</v>
      </c>
      <c r="C12" s="62" t="s">
        <v>9</v>
      </c>
      <c r="D12" s="6">
        <v>50</v>
      </c>
      <c r="E12" s="6">
        <v>50</v>
      </c>
      <c r="F12" s="6"/>
      <c r="G12" s="6"/>
      <c r="H12" s="6"/>
      <c r="I12" s="6"/>
      <c r="J12" s="26"/>
      <c r="K12" s="6"/>
      <c r="L12" s="6"/>
      <c r="M12" s="6"/>
      <c r="N12" s="6">
        <v>13</v>
      </c>
      <c r="O12" s="6"/>
      <c r="P12" s="6"/>
      <c r="Q12" s="6"/>
      <c r="R12" s="6"/>
      <c r="S12" s="6"/>
      <c r="T12" s="6"/>
      <c r="U12" s="6">
        <v>30</v>
      </c>
      <c r="V12" s="6"/>
      <c r="W12" s="6"/>
      <c r="X12" s="6"/>
      <c r="Y12" s="6"/>
      <c r="Z12" s="6">
        <v>30</v>
      </c>
      <c r="AA12" s="6"/>
      <c r="AB12" s="6">
        <v>23</v>
      </c>
      <c r="AC12" s="27">
        <v>36</v>
      </c>
      <c r="AD12" s="6"/>
      <c r="AE12" s="26"/>
      <c r="AF12" s="6"/>
      <c r="AG12" s="26"/>
      <c r="AH12" s="6"/>
      <c r="AI12" s="45">
        <f t="shared" si="0"/>
        <v>7.4838709677419351</v>
      </c>
      <c r="AJ12" s="34">
        <f>SUM(D12,E12,F12,G12,H12,I12,J12,K12,L12,M12,N12,O12,P12,Q12,R12,S12,T12,U12,V12,W12,X12,Y12,Z12,AA12,AB12,AC12,AD12,AE12,AF12,AG12,AH12)</f>
        <v>232</v>
      </c>
      <c r="AK12" s="7">
        <f>(AJ12/(AJ3+AJ4))*100</f>
        <v>7.6974120769741212</v>
      </c>
    </row>
    <row r="13" spans="1:37" ht="18.95" customHeight="1" x14ac:dyDescent="0.3">
      <c r="A13" s="88"/>
      <c r="B13" s="92"/>
      <c r="C13" s="62" t="s">
        <v>30</v>
      </c>
      <c r="D13" s="28"/>
      <c r="E13" s="8">
        <v>20</v>
      </c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>
        <v>13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1.064516129032258</v>
      </c>
      <c r="AJ13" s="35">
        <f t="shared" si="1"/>
        <v>33</v>
      </c>
      <c r="AK13" s="9">
        <f>(AJ13/(AJ3+AJ4))*100</f>
        <v>1.0948905109489051</v>
      </c>
    </row>
    <row r="14" spans="1:37" ht="18.95" customHeight="1" x14ac:dyDescent="0.3">
      <c r="A14" s="88"/>
      <c r="B14" s="92"/>
      <c r="C14" s="56" t="s">
        <v>28</v>
      </c>
      <c r="D14" s="6"/>
      <c r="E14" s="6"/>
      <c r="F14" s="6"/>
      <c r="G14" s="6">
        <v>160</v>
      </c>
      <c r="H14" s="6">
        <v>165</v>
      </c>
      <c r="I14" s="6"/>
      <c r="J14" s="26"/>
      <c r="K14" s="6"/>
      <c r="L14" s="6"/>
      <c r="M14" s="6"/>
      <c r="N14" s="6"/>
      <c r="O14" s="6"/>
      <c r="P14" s="6"/>
      <c r="Q14" s="6"/>
      <c r="R14" s="6"/>
      <c r="S14" s="6">
        <v>50</v>
      </c>
      <c r="T14" s="6"/>
      <c r="U14" s="6"/>
      <c r="V14" s="6">
        <v>235</v>
      </c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19.677419354838708</v>
      </c>
      <c r="AJ14" s="34">
        <f t="shared" si="1"/>
        <v>610</v>
      </c>
      <c r="AK14" s="7">
        <f>(AJ14/(AJ3+AJ4))*100</f>
        <v>20.23888520238885</v>
      </c>
    </row>
    <row r="15" spans="1:37" ht="18.95" customHeight="1" x14ac:dyDescent="0.3">
      <c r="A15" s="88"/>
      <c r="B15" s="93"/>
      <c r="C15" s="62" t="s">
        <v>4</v>
      </c>
      <c r="D15" s="51"/>
      <c r="E15" s="51">
        <v>150</v>
      </c>
      <c r="F15" s="51"/>
      <c r="G15" s="51"/>
      <c r="H15" s="51"/>
      <c r="I15" s="51"/>
      <c r="J15" s="50"/>
      <c r="K15" s="51"/>
      <c r="L15" s="51"/>
      <c r="M15" s="51"/>
      <c r="N15" s="51">
        <v>60</v>
      </c>
      <c r="O15" s="51"/>
      <c r="P15" s="51"/>
      <c r="Q15" s="51"/>
      <c r="R15" s="51"/>
      <c r="S15" s="51"/>
      <c r="T15" s="51"/>
      <c r="U15" s="51">
        <v>19</v>
      </c>
      <c r="V15" s="51"/>
      <c r="W15" s="51"/>
      <c r="X15" s="51"/>
      <c r="Y15" s="51"/>
      <c r="Z15" s="51">
        <v>20</v>
      </c>
      <c r="AA15" s="51"/>
      <c r="AB15" s="51">
        <v>30</v>
      </c>
      <c r="AC15" s="52">
        <v>95</v>
      </c>
      <c r="AD15" s="51"/>
      <c r="AE15" s="50"/>
      <c r="AF15" s="51"/>
      <c r="AG15" s="50"/>
      <c r="AH15" s="51"/>
      <c r="AI15" s="45">
        <f t="shared" si="0"/>
        <v>12.064516129032258</v>
      </c>
      <c r="AJ15" s="34">
        <f>SUM(D15,E15,F15,G15,H15,I15,J15,K15,L15,M15,N15,O15,P15,Q15,R15,S15,T15,U15,V15,W15,X15,Y15,Z15,AA15,AB15,AC15,AD15,AE15,AF15,AG15,AH15)</f>
        <v>374</v>
      </c>
      <c r="AK15" s="7">
        <f>(AJ15/(AJ3+AJ4))*100</f>
        <v>12.408759124087592</v>
      </c>
    </row>
    <row r="16" spans="1:37" ht="18.399999999999999" customHeight="1" x14ac:dyDescent="0.3">
      <c r="A16" s="89"/>
      <c r="B16" s="80" t="s">
        <v>10</v>
      </c>
      <c r="C16" s="81"/>
      <c r="D16" s="80">
        <f>SUM(D5:I15)+80</f>
        <v>884</v>
      </c>
      <c r="E16" s="81"/>
      <c r="F16" s="81"/>
      <c r="G16" s="81"/>
      <c r="H16" s="81"/>
      <c r="I16" s="82"/>
      <c r="J16" s="80">
        <f>SUM(J5:P15)</f>
        <v>434</v>
      </c>
      <c r="K16" s="81"/>
      <c r="L16" s="81"/>
      <c r="M16" s="81"/>
      <c r="N16" s="81"/>
      <c r="O16" s="81"/>
      <c r="P16" s="82"/>
      <c r="Q16" s="80">
        <f>SUM(Q5:W15)</f>
        <v>555</v>
      </c>
      <c r="R16" s="81"/>
      <c r="S16" s="81"/>
      <c r="T16" s="81"/>
      <c r="U16" s="81"/>
      <c r="V16" s="81"/>
      <c r="W16" s="82"/>
      <c r="X16" s="80">
        <f>SUM(X5:AD15)</f>
        <v>754</v>
      </c>
      <c r="Y16" s="81"/>
      <c r="Z16" s="81"/>
      <c r="AA16" s="81"/>
      <c r="AB16" s="81"/>
      <c r="AC16" s="81"/>
      <c r="AD16" s="82"/>
      <c r="AE16" s="80">
        <f>SUM(AE5:AG15)</f>
        <v>387</v>
      </c>
      <c r="AF16" s="81"/>
      <c r="AG16" s="82"/>
      <c r="AH16" s="66"/>
      <c r="AI16" s="53">
        <f t="shared" si="0"/>
        <v>94.645161290322577</v>
      </c>
      <c r="AJ16" s="49">
        <f>SUM(AJ5,AJ6,AJ7,AJ8,AJ9,AJ10,AJ11,AJ12,AJ13,AJ14,AJ15)</f>
        <v>2934</v>
      </c>
      <c r="AK16" s="10">
        <f>SUM(AK5,AK6,AK7,AK8,AK9,AK10,AK11,AK12,AK13,AK14,AK15)</f>
        <v>97.345719973457193</v>
      </c>
    </row>
    <row r="17" spans="1:37" ht="18" customHeight="1" x14ac:dyDescent="0.3">
      <c r="A17" s="114" t="s">
        <v>26</v>
      </c>
      <c r="B17" s="114"/>
      <c r="C17" s="115"/>
      <c r="D17" s="116">
        <v>2978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6"/>
    </row>
    <row r="18" spans="1:37" ht="18" customHeight="1" x14ac:dyDescent="0.3">
      <c r="A18" s="109" t="s">
        <v>20</v>
      </c>
      <c r="B18" s="109"/>
      <c r="C18" s="110"/>
      <c r="D18" s="120">
        <f>((AJ3+AJ4+D17)-AJ16)-D17</f>
        <v>80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2.6542800265428004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3058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2">
    <mergeCell ref="A1:C2"/>
    <mergeCell ref="AI1:AI2"/>
    <mergeCell ref="AJ1:AJ2"/>
    <mergeCell ref="AK1:AK2"/>
    <mergeCell ref="A3:B4"/>
    <mergeCell ref="AI3:AI4"/>
    <mergeCell ref="AK3:AK4"/>
    <mergeCell ref="A19:C19"/>
    <mergeCell ref="D19:AJ19"/>
    <mergeCell ref="D16:I16"/>
    <mergeCell ref="J16:P16"/>
    <mergeCell ref="Q16:W16"/>
    <mergeCell ref="X16:AD16"/>
    <mergeCell ref="AE16:AG16"/>
    <mergeCell ref="A17:C17"/>
    <mergeCell ref="D17:AJ17"/>
    <mergeCell ref="A18:C18"/>
    <mergeCell ref="D18:AJ18"/>
    <mergeCell ref="A5:A16"/>
    <mergeCell ref="B5:B11"/>
    <mergeCell ref="B12:B15"/>
    <mergeCell ref="B16:C1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14</v>
      </c>
      <c r="E1" s="36" t="s">
        <v>13</v>
      </c>
      <c r="F1" s="36" t="s">
        <v>12</v>
      </c>
      <c r="G1" s="37" t="s">
        <v>11</v>
      </c>
      <c r="H1" s="55" t="s">
        <v>17</v>
      </c>
      <c r="I1" s="36" t="s">
        <v>16</v>
      </c>
      <c r="J1" s="37" t="s">
        <v>15</v>
      </c>
      <c r="K1" s="36" t="s">
        <v>14</v>
      </c>
      <c r="L1" s="36" t="s">
        <v>13</v>
      </c>
      <c r="M1" s="36" t="s">
        <v>12</v>
      </c>
      <c r="N1" s="37" t="s">
        <v>11</v>
      </c>
      <c r="O1" s="55" t="s">
        <v>17</v>
      </c>
      <c r="P1" s="36" t="s">
        <v>16</v>
      </c>
      <c r="Q1" s="37" t="s">
        <v>15</v>
      </c>
      <c r="R1" s="36" t="s">
        <v>14</v>
      </c>
      <c r="S1" s="36" t="s">
        <v>13</v>
      </c>
      <c r="T1" s="36" t="s">
        <v>12</v>
      </c>
      <c r="U1" s="37" t="s">
        <v>11</v>
      </c>
      <c r="V1" s="55" t="s">
        <v>17</v>
      </c>
      <c r="W1" s="36" t="s">
        <v>16</v>
      </c>
      <c r="X1" s="37" t="s">
        <v>15</v>
      </c>
      <c r="Y1" s="36" t="s">
        <v>14</v>
      </c>
      <c r="Z1" s="36" t="s">
        <v>13</v>
      </c>
      <c r="AA1" s="36" t="s">
        <v>12</v>
      </c>
      <c r="AB1" s="37" t="s">
        <v>11</v>
      </c>
      <c r="AC1" s="55" t="s">
        <v>17</v>
      </c>
      <c r="AD1" s="36" t="s">
        <v>16</v>
      </c>
      <c r="AE1" s="37" t="s">
        <v>15</v>
      </c>
      <c r="AF1" s="36" t="s">
        <v>14</v>
      </c>
      <c r="AG1" s="36" t="s">
        <v>13</v>
      </c>
      <c r="AH1" s="36" t="s">
        <v>12</v>
      </c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>
        <v>542</v>
      </c>
      <c r="J3" s="16"/>
      <c r="K3" s="15"/>
      <c r="L3" s="15"/>
      <c r="M3" s="15"/>
      <c r="N3" s="15"/>
      <c r="O3" s="15">
        <v>535</v>
      </c>
      <c r="P3" s="15"/>
      <c r="Q3" s="15"/>
      <c r="R3" s="15"/>
      <c r="S3" s="15"/>
      <c r="T3" s="15"/>
      <c r="U3" s="15"/>
      <c r="V3" s="15">
        <v>1000</v>
      </c>
      <c r="W3" s="15"/>
      <c r="X3" s="15"/>
      <c r="Y3" s="15"/>
      <c r="Z3" s="15"/>
      <c r="AA3" s="15"/>
      <c r="AB3" s="15"/>
      <c r="AC3" s="14"/>
      <c r="AD3" s="15"/>
      <c r="AE3" s="17">
        <v>704</v>
      </c>
      <c r="AF3" s="15"/>
      <c r="AG3" s="17"/>
      <c r="AH3" s="15"/>
      <c r="AI3" s="104">
        <f>(AJ3+AJ4)/31</f>
        <v>94.935483870967744</v>
      </c>
      <c r="AJ3" s="48">
        <f>SUM(D3:AH3)</f>
        <v>2781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/>
      <c r="E4" s="18">
        <v>11</v>
      </c>
      <c r="F4" s="18"/>
      <c r="G4" s="18">
        <v>7</v>
      </c>
      <c r="H4" s="18"/>
      <c r="I4" s="18"/>
      <c r="J4" s="19"/>
      <c r="K4" s="18"/>
      <c r="L4" s="18"/>
      <c r="M4" s="18">
        <v>22</v>
      </c>
      <c r="N4" s="18"/>
      <c r="O4" s="18"/>
      <c r="P4" s="18"/>
      <c r="Q4" s="18"/>
      <c r="R4" s="18"/>
      <c r="S4" s="18">
        <v>7</v>
      </c>
      <c r="T4" s="18">
        <v>7</v>
      </c>
      <c r="U4" s="18"/>
      <c r="V4" s="18"/>
      <c r="W4" s="18">
        <v>74</v>
      </c>
      <c r="X4" s="18"/>
      <c r="Y4" s="18"/>
      <c r="Z4" s="18">
        <v>7</v>
      </c>
      <c r="AA4" s="18"/>
      <c r="AB4" s="18">
        <v>11</v>
      </c>
      <c r="AC4" s="20"/>
      <c r="AD4" s="18"/>
      <c r="AE4" s="19"/>
      <c r="AF4" s="18"/>
      <c r="AG4" s="19"/>
      <c r="AH4" s="18">
        <v>16</v>
      </c>
      <c r="AI4" s="105"/>
      <c r="AJ4" s="48">
        <f>SUM(D4:AH4)</f>
        <v>162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>
        <v>3</v>
      </c>
      <c r="E5" s="2"/>
      <c r="F5" s="2"/>
      <c r="G5" s="2"/>
      <c r="H5" s="2">
        <v>6</v>
      </c>
      <c r="I5" s="2"/>
      <c r="J5" s="22">
        <v>3</v>
      </c>
      <c r="K5" s="2"/>
      <c r="L5" s="2"/>
      <c r="M5" s="2">
        <v>19</v>
      </c>
      <c r="N5" s="2"/>
      <c r="O5" s="2">
        <v>7</v>
      </c>
      <c r="P5" s="2">
        <v>6</v>
      </c>
      <c r="Q5" s="2">
        <v>36</v>
      </c>
      <c r="R5" s="2"/>
      <c r="S5" s="2"/>
      <c r="T5" s="2"/>
      <c r="U5" s="2"/>
      <c r="V5" s="2"/>
      <c r="W5" s="2">
        <v>37</v>
      </c>
      <c r="X5" s="2">
        <v>3</v>
      </c>
      <c r="Y5" s="2"/>
      <c r="Z5" s="2"/>
      <c r="AA5" s="2"/>
      <c r="AB5" s="2"/>
      <c r="AC5" s="21">
        <v>13</v>
      </c>
      <c r="AD5" s="2"/>
      <c r="AE5" s="23"/>
      <c r="AF5" s="2"/>
      <c r="AG5" s="23">
        <v>3</v>
      </c>
      <c r="AH5" s="2"/>
      <c r="AI5" s="43">
        <f t="shared" ref="AI5:AI16" si="0">AJ5/31</f>
        <v>4.387096774193548</v>
      </c>
      <c r="AJ5" s="32">
        <f>SUM(D5,E5,F5,G5,H5,I5,J5,K5,L5,M5,N5,O5,P5,Q5,R5,S5,T5,U5,V5,W5,X5,Y5,Z5,AA5,AB5,AC5,AD5,AE5,AF5,AG5,AH5)</f>
        <v>136</v>
      </c>
      <c r="AK5" s="3">
        <f>(AJ5/(AJ3+AJ4))*100</f>
        <v>4.6211348963642536</v>
      </c>
    </row>
    <row r="6" spans="1:37" ht="18.95" customHeight="1" x14ac:dyDescent="0.3">
      <c r="A6" s="88"/>
      <c r="B6" s="90"/>
      <c r="C6" s="60" t="s">
        <v>6</v>
      </c>
      <c r="D6" s="4">
        <v>13</v>
      </c>
      <c r="E6" s="4">
        <v>25</v>
      </c>
      <c r="F6" s="4"/>
      <c r="G6" s="4">
        <v>25</v>
      </c>
      <c r="H6" s="4"/>
      <c r="I6" s="4">
        <v>14</v>
      </c>
      <c r="J6" s="24"/>
      <c r="K6" s="4">
        <v>18</v>
      </c>
      <c r="L6" s="4">
        <v>7</v>
      </c>
      <c r="M6" s="4">
        <v>22</v>
      </c>
      <c r="N6" s="4">
        <v>25</v>
      </c>
      <c r="O6" s="4">
        <v>4</v>
      </c>
      <c r="P6" s="4"/>
      <c r="Q6" s="4">
        <v>5</v>
      </c>
      <c r="R6" s="4">
        <v>20</v>
      </c>
      <c r="S6" s="4">
        <v>30</v>
      </c>
      <c r="T6" s="4"/>
      <c r="U6" s="4">
        <v>25</v>
      </c>
      <c r="V6" s="4">
        <v>14</v>
      </c>
      <c r="W6" s="4">
        <v>12</v>
      </c>
      <c r="X6" s="4">
        <v>2</v>
      </c>
      <c r="Y6" s="4">
        <v>5</v>
      </c>
      <c r="Z6" s="4">
        <v>25</v>
      </c>
      <c r="AA6" s="4"/>
      <c r="AB6" s="4">
        <v>25</v>
      </c>
      <c r="AC6" s="25">
        <v>7</v>
      </c>
      <c r="AD6" s="4"/>
      <c r="AE6" s="24">
        <v>25</v>
      </c>
      <c r="AF6" s="4"/>
      <c r="AG6" s="24">
        <v>3</v>
      </c>
      <c r="AH6" s="4"/>
      <c r="AI6" s="44">
        <f t="shared" si="0"/>
        <v>11.32258064516129</v>
      </c>
      <c r="AJ6" s="33">
        <f>SUM(D6,E6,F6,G6,H6,I6,J6,K6,L6,M6,N6,O6,P6,Q6,R6,S6,T6,U6,V6,W6,X6,Y6,Z6,AA6,AB6,AC6,AD6,AE6,AF6,AG6,AH6)</f>
        <v>351</v>
      </c>
      <c r="AK6" s="5">
        <f>(AJ6/(AJ3+AJ4))*100</f>
        <v>11.926605504587156</v>
      </c>
    </row>
    <row r="7" spans="1:37" ht="18.95" customHeight="1" x14ac:dyDescent="0.3">
      <c r="A7" s="88"/>
      <c r="B7" s="90"/>
      <c r="C7" s="60" t="s">
        <v>21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>
        <v>2</v>
      </c>
      <c r="AD7" s="4"/>
      <c r="AE7" s="24"/>
      <c r="AF7" s="4"/>
      <c r="AG7" s="24"/>
      <c r="AH7" s="4"/>
      <c r="AI7" s="44">
        <f t="shared" si="0"/>
        <v>6.4516129032258063E-2</v>
      </c>
      <c r="AJ7" s="33">
        <f>SUM(D7,E7,F7,G7,H7,I7,J7,K7,L7,M7,N7,O7,P7,Q7,R7,S7,T7,U7,V7,W7,X7,Y7,Z7,AA7,AB7,AC7,AD7,AE7,AF7,AG7,AH7)</f>
        <v>2</v>
      </c>
      <c r="AK7" s="5">
        <f>(AJ7/(AJ3+AJ4))*100</f>
        <v>6.7957866123003738E-2</v>
      </c>
    </row>
    <row r="8" spans="1:37" ht="18.95" customHeight="1" x14ac:dyDescent="0.3">
      <c r="A8" s="88"/>
      <c r="B8" s="90"/>
      <c r="C8" s="61" t="s">
        <v>22</v>
      </c>
      <c r="D8" s="38"/>
      <c r="E8" s="39"/>
      <c r="F8" s="39"/>
      <c r="G8" s="39"/>
      <c r="H8" s="39"/>
      <c r="I8" s="39"/>
      <c r="J8" s="40">
        <v>9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>
        <v>23</v>
      </c>
      <c r="AF8" s="39"/>
      <c r="AG8" s="40"/>
      <c r="AH8" s="39"/>
      <c r="AI8" s="47">
        <f t="shared" si="0"/>
        <v>1.032258064516129</v>
      </c>
      <c r="AJ8" s="41">
        <f>SUM(D8,E8,F8,G8,H8,I8,J8,K8,L8,M8,N8,O8,P8,Q8,R8,S8,T8,U8,V8,W8,X8,Y8,Z8,AA8,AB8,AC8,AD8,AE8,AF8,AG8,AH8)</f>
        <v>32</v>
      </c>
      <c r="AK8" s="42">
        <f>(AJ8/(AJ3+AJ4))*100</f>
        <v>1.0873258579680598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>
        <v>277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>
        <v>22</v>
      </c>
      <c r="AD9" s="2"/>
      <c r="AE9" s="23">
        <v>111</v>
      </c>
      <c r="AF9" s="2"/>
      <c r="AG9" s="23"/>
      <c r="AH9" s="2"/>
      <c r="AI9" s="43">
        <f t="shared" si="0"/>
        <v>13.225806451612904</v>
      </c>
      <c r="AJ9" s="32">
        <f>SUM(D9,E9,F9,G9,H9,I9,J9,K9,L9,M9,N9,O9,P9,Q9,R9,S9,T9,U9,V9,W9,X9,Y9,Z9,AA9,AB9,AC9,AD9,AE9,AF9,AG9,AH9)</f>
        <v>410</v>
      </c>
      <c r="AK9" s="3">
        <f>(AJ9/(AJ3+AJ4))*100</f>
        <v>13.931362555215765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8</v>
      </c>
      <c r="D11" s="21"/>
      <c r="E11" s="2"/>
      <c r="F11" s="2"/>
      <c r="G11" s="2"/>
      <c r="H11" s="2">
        <v>80</v>
      </c>
      <c r="I11" s="2"/>
      <c r="J11" s="22"/>
      <c r="K11" s="2"/>
      <c r="L11" s="2"/>
      <c r="M11" s="2"/>
      <c r="N11" s="2"/>
      <c r="O11" s="2"/>
      <c r="P11" s="2"/>
      <c r="Q11" s="2"/>
      <c r="R11" s="2"/>
      <c r="S11" s="2">
        <v>2</v>
      </c>
      <c r="T11" s="2"/>
      <c r="U11" s="2">
        <v>79</v>
      </c>
      <c r="V11" s="2"/>
      <c r="W11" s="2"/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5.193548387096774</v>
      </c>
      <c r="AJ11" s="32">
        <f>SUM(D11,E11,F11,G11,H11,I11,J11,K11,L11,M11,N11,O11,P11,Q11,R11,S11,T11,U11,V11,W11,X11,Y11,Z11,AA11,AB11,AC11,AD11,AE11,AF11,AG11,AH11)</f>
        <v>161</v>
      </c>
      <c r="AK11" s="3">
        <f>(AJ11/(AJ3+AJ4))*100</f>
        <v>5.4706082229018005</v>
      </c>
    </row>
    <row r="12" spans="1:37" ht="18.95" customHeight="1" x14ac:dyDescent="0.3">
      <c r="A12" s="88"/>
      <c r="B12" s="91" t="s">
        <v>4</v>
      </c>
      <c r="C12" s="62" t="s">
        <v>9</v>
      </c>
      <c r="D12" s="6"/>
      <c r="E12" s="6">
        <v>19</v>
      </c>
      <c r="F12" s="6"/>
      <c r="G12" s="6"/>
      <c r="H12" s="6">
        <v>45</v>
      </c>
      <c r="I12" s="6"/>
      <c r="J12" s="26"/>
      <c r="K12" s="6"/>
      <c r="L12" s="6">
        <v>37</v>
      </c>
      <c r="M12" s="6">
        <v>30</v>
      </c>
      <c r="N12" s="6">
        <v>37</v>
      </c>
      <c r="O12" s="6"/>
      <c r="P12" s="6"/>
      <c r="Q12" s="6"/>
      <c r="R12" s="6"/>
      <c r="S12" s="6"/>
      <c r="T12" s="6">
        <v>37</v>
      </c>
      <c r="U12" s="6"/>
      <c r="V12" s="6"/>
      <c r="W12" s="6">
        <v>49</v>
      </c>
      <c r="X12" s="6"/>
      <c r="Y12" s="6"/>
      <c r="Z12" s="6"/>
      <c r="AA12" s="6">
        <v>19</v>
      </c>
      <c r="AB12" s="6"/>
      <c r="AC12" s="27"/>
      <c r="AD12" s="6"/>
      <c r="AE12" s="26"/>
      <c r="AF12" s="6"/>
      <c r="AG12" s="26"/>
      <c r="AH12" s="6">
        <v>26</v>
      </c>
      <c r="AI12" s="45">
        <f t="shared" si="0"/>
        <v>9.6451612903225801</v>
      </c>
      <c r="AJ12" s="34">
        <f>SUM(D12,E12,F12,G12,H12,I12,J12,K12,L12,M12,N12,O12,P12,Q12,R12,S12,T12,U12,V12,W12,X12,Y12,Z12,AA12,AB12,AC12,AD12,AE12,AF12,AG12,AH12)</f>
        <v>299</v>
      </c>
      <c r="AK12" s="7">
        <f>(AJ12/(AJ3+AJ4))*100</f>
        <v>10.159700985389058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>
        <v>11</v>
      </c>
      <c r="N13" s="8"/>
      <c r="O13" s="8"/>
      <c r="P13" s="8"/>
      <c r="Q13" s="8"/>
      <c r="R13" s="8"/>
      <c r="S13" s="8"/>
      <c r="T13" s="8">
        <v>22</v>
      </c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1.064516129032258</v>
      </c>
      <c r="AJ13" s="35">
        <f t="shared" si="1"/>
        <v>33</v>
      </c>
      <c r="AK13" s="9">
        <f>(AJ13/(AJ3+AJ4))*100</f>
        <v>1.1213047910295617</v>
      </c>
    </row>
    <row r="14" spans="1:37" ht="18.95" customHeight="1" x14ac:dyDescent="0.3">
      <c r="A14" s="88"/>
      <c r="B14" s="92"/>
      <c r="C14" s="56" t="s">
        <v>28</v>
      </c>
      <c r="D14" s="6"/>
      <c r="E14" s="6"/>
      <c r="F14" s="6">
        <v>130</v>
      </c>
      <c r="G14" s="6"/>
      <c r="H14" s="6"/>
      <c r="I14" s="6"/>
      <c r="J14" s="2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4.193548387096774</v>
      </c>
      <c r="AJ14" s="34">
        <f t="shared" si="1"/>
        <v>130</v>
      </c>
      <c r="AK14" s="7">
        <f>(AJ14/(AJ3+AJ4))*100</f>
        <v>4.4172612979952435</v>
      </c>
    </row>
    <row r="15" spans="1:37" ht="18.95" customHeight="1" x14ac:dyDescent="0.3">
      <c r="A15" s="88"/>
      <c r="B15" s="93"/>
      <c r="C15" s="62" t="s">
        <v>4</v>
      </c>
      <c r="D15" s="51"/>
      <c r="E15" s="51">
        <v>56</v>
      </c>
      <c r="F15" s="51"/>
      <c r="G15" s="51"/>
      <c r="H15" s="51"/>
      <c r="I15" s="51"/>
      <c r="J15" s="50"/>
      <c r="K15" s="51"/>
      <c r="L15" s="51">
        <v>111</v>
      </c>
      <c r="M15" s="51"/>
      <c r="N15" s="51"/>
      <c r="O15" s="51"/>
      <c r="P15" s="51"/>
      <c r="Q15" s="51"/>
      <c r="R15" s="51"/>
      <c r="S15" s="51">
        <v>37</v>
      </c>
      <c r="T15" s="51"/>
      <c r="U15" s="51"/>
      <c r="V15" s="51"/>
      <c r="W15" s="51">
        <v>9</v>
      </c>
      <c r="X15" s="51"/>
      <c r="Y15" s="51"/>
      <c r="Z15" s="51"/>
      <c r="AA15" s="51">
        <v>15</v>
      </c>
      <c r="AB15" s="51"/>
      <c r="AC15" s="52"/>
      <c r="AD15" s="51"/>
      <c r="AE15" s="50"/>
      <c r="AF15" s="51"/>
      <c r="AG15" s="50"/>
      <c r="AH15" s="51"/>
      <c r="AI15" s="45">
        <f t="shared" si="0"/>
        <v>7.354838709677419</v>
      </c>
      <c r="AJ15" s="34">
        <f>SUM(D15,E15,F15,G15,H15,I15,J15,K15,L15,M15,N15,O15,P15,Q15,R15,S15,T15,U15,V15,W15,X15,Y15,Z15,AA15,AB15,AC15,AD15,AE15,AF15,AG15,AH15)</f>
        <v>228</v>
      </c>
      <c r="AK15" s="7">
        <f>(AJ15/(AJ3+AJ4))*100</f>
        <v>7.747196738022426</v>
      </c>
    </row>
    <row r="16" spans="1:37" ht="18.399999999999999" customHeight="1" x14ac:dyDescent="0.3">
      <c r="A16" s="89"/>
      <c r="B16" s="80" t="s">
        <v>10</v>
      </c>
      <c r="C16" s="81"/>
      <c r="D16" s="80">
        <f>SUM(D5:G15)+387</f>
        <v>658</v>
      </c>
      <c r="E16" s="81"/>
      <c r="F16" s="81"/>
      <c r="G16" s="82"/>
      <c r="H16" s="80">
        <f>SUM(H5:N15)</f>
        <v>474</v>
      </c>
      <c r="I16" s="81"/>
      <c r="J16" s="81"/>
      <c r="K16" s="81"/>
      <c r="L16" s="81"/>
      <c r="M16" s="81"/>
      <c r="N16" s="82"/>
      <c r="O16" s="80">
        <f>SUM(O5:U15)</f>
        <v>587</v>
      </c>
      <c r="P16" s="81"/>
      <c r="Q16" s="81"/>
      <c r="R16" s="81"/>
      <c r="S16" s="81"/>
      <c r="T16" s="81"/>
      <c r="U16" s="82"/>
      <c r="V16" s="80">
        <f>SUM(V5:AB15)</f>
        <v>215</v>
      </c>
      <c r="W16" s="81"/>
      <c r="X16" s="81"/>
      <c r="Y16" s="81"/>
      <c r="Z16" s="81"/>
      <c r="AA16" s="81"/>
      <c r="AB16" s="82"/>
      <c r="AC16" s="80">
        <f>SUM(AC5:AH15)</f>
        <v>235</v>
      </c>
      <c r="AD16" s="81"/>
      <c r="AE16" s="81"/>
      <c r="AF16" s="81"/>
      <c r="AG16" s="81"/>
      <c r="AH16" s="82"/>
      <c r="AI16" s="53">
        <f t="shared" si="0"/>
        <v>57.483870967741936</v>
      </c>
      <c r="AJ16" s="49">
        <f>SUM(AJ5,AJ6,AJ7,AJ8,AJ9,AJ10,AJ11,AJ12,AJ13,AJ14,AJ15)</f>
        <v>1782</v>
      </c>
      <c r="AK16" s="10">
        <f>SUM(AK5,AK6,AK7,AK8,AK9,AK10,AK11,AK12,AK13,AK14,AK15)</f>
        <v>60.550458715596328</v>
      </c>
    </row>
    <row r="17" spans="1:37" ht="18" customHeight="1" x14ac:dyDescent="0.3">
      <c r="A17" s="114" t="s">
        <v>26</v>
      </c>
      <c r="B17" s="114"/>
      <c r="C17" s="115"/>
      <c r="D17" s="116">
        <v>3058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7"/>
    </row>
    <row r="18" spans="1:37" ht="18" customHeight="1" x14ac:dyDescent="0.3">
      <c r="A18" s="109" t="s">
        <v>20</v>
      </c>
      <c r="B18" s="109"/>
      <c r="C18" s="110"/>
      <c r="D18" s="120">
        <f>(AJ3+AJ4)-AJ16</f>
        <v>1161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39.449541284403672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4219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2">
    <mergeCell ref="A19:C19"/>
    <mergeCell ref="D19:AJ19"/>
    <mergeCell ref="D16:G16"/>
    <mergeCell ref="H16:N16"/>
    <mergeCell ref="O16:U16"/>
    <mergeCell ref="V16:AB16"/>
    <mergeCell ref="AC16:AH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7" t="s">
        <v>11</v>
      </c>
      <c r="E1" s="55" t="s">
        <v>17</v>
      </c>
      <c r="F1" s="36" t="s">
        <v>16</v>
      </c>
      <c r="G1" s="37" t="s">
        <v>15</v>
      </c>
      <c r="H1" s="36" t="s">
        <v>14</v>
      </c>
      <c r="I1" s="36" t="s">
        <v>13</v>
      </c>
      <c r="J1" s="36" t="s">
        <v>12</v>
      </c>
      <c r="K1" s="37" t="s">
        <v>11</v>
      </c>
      <c r="L1" s="55" t="s">
        <v>17</v>
      </c>
      <c r="M1" s="36" t="s">
        <v>16</v>
      </c>
      <c r="N1" s="37" t="s">
        <v>15</v>
      </c>
      <c r="O1" s="36" t="s">
        <v>14</v>
      </c>
      <c r="P1" s="36" t="s">
        <v>13</v>
      </c>
      <c r="Q1" s="36" t="s">
        <v>12</v>
      </c>
      <c r="R1" s="37" t="s">
        <v>11</v>
      </c>
      <c r="S1" s="55" t="s">
        <v>17</v>
      </c>
      <c r="T1" s="36" t="s">
        <v>16</v>
      </c>
      <c r="U1" s="37" t="s">
        <v>15</v>
      </c>
      <c r="V1" s="36" t="s">
        <v>14</v>
      </c>
      <c r="W1" s="36" t="s">
        <v>13</v>
      </c>
      <c r="X1" s="36" t="s">
        <v>12</v>
      </c>
      <c r="Y1" s="37" t="s">
        <v>11</v>
      </c>
      <c r="Z1" s="55" t="s">
        <v>17</v>
      </c>
      <c r="AA1" s="36" t="s">
        <v>16</v>
      </c>
      <c r="AB1" s="37" t="s">
        <v>15</v>
      </c>
      <c r="AC1" s="36" t="s">
        <v>14</v>
      </c>
      <c r="AD1" s="36" t="s">
        <v>13</v>
      </c>
      <c r="AE1" s="36" t="s">
        <v>12</v>
      </c>
      <c r="AF1" s="37" t="s">
        <v>11</v>
      </c>
      <c r="AG1" s="55" t="s">
        <v>17</v>
      </c>
      <c r="AH1" s="36"/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>
        <v>690</v>
      </c>
      <c r="H3" s="15"/>
      <c r="I3" s="18"/>
      <c r="J3" s="16"/>
      <c r="K3" s="15"/>
      <c r="L3" s="15"/>
      <c r="M3" s="15"/>
      <c r="N3" s="15">
        <v>690</v>
      </c>
      <c r="O3" s="15"/>
      <c r="P3" s="15"/>
      <c r="Q3" s="15"/>
      <c r="R3" s="15"/>
      <c r="S3" s="15"/>
      <c r="T3" s="15"/>
      <c r="U3" s="15">
        <v>500</v>
      </c>
      <c r="V3" s="15"/>
      <c r="W3" s="15"/>
      <c r="X3" s="15"/>
      <c r="Y3" s="15"/>
      <c r="Z3" s="15">
        <v>591</v>
      </c>
      <c r="AA3" s="15"/>
      <c r="AB3" s="15"/>
      <c r="AC3" s="14"/>
      <c r="AD3" s="15"/>
      <c r="AE3" s="17"/>
      <c r="AF3" s="15"/>
      <c r="AG3" s="17">
        <v>507</v>
      </c>
      <c r="AH3" s="15"/>
      <c r="AI3" s="104">
        <f>(AJ3+AJ4)/31</f>
        <v>111.09677419354838</v>
      </c>
      <c r="AJ3" s="48">
        <f>SUM(D3:AH3)</f>
        <v>2978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>
        <v>22</v>
      </c>
      <c r="E4" s="18"/>
      <c r="F4" s="18"/>
      <c r="G4" s="18"/>
      <c r="H4" s="18"/>
      <c r="I4" s="18"/>
      <c r="J4" s="19"/>
      <c r="K4" s="18">
        <v>380</v>
      </c>
      <c r="L4" s="18"/>
      <c r="M4" s="18"/>
      <c r="N4" s="18"/>
      <c r="O4" s="18"/>
      <c r="P4" s="18"/>
      <c r="Q4" s="18"/>
      <c r="R4" s="18">
        <v>45</v>
      </c>
      <c r="S4" s="18"/>
      <c r="T4" s="18"/>
      <c r="U4" s="18"/>
      <c r="V4" s="18"/>
      <c r="W4" s="18"/>
      <c r="X4" s="18">
        <v>8</v>
      </c>
      <c r="Y4" s="18"/>
      <c r="Z4" s="18"/>
      <c r="AA4" s="18"/>
      <c r="AB4" s="18"/>
      <c r="AC4" s="20"/>
      <c r="AD4" s="18"/>
      <c r="AE4" s="19"/>
      <c r="AF4" s="18">
        <v>11</v>
      </c>
      <c r="AG4" s="19"/>
      <c r="AH4" s="18"/>
      <c r="AI4" s="105"/>
      <c r="AJ4" s="48">
        <f>SUM(D4:AH4)</f>
        <v>466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/>
      <c r="E5" s="2">
        <v>3</v>
      </c>
      <c r="F5" s="2"/>
      <c r="G5" s="2">
        <v>3</v>
      </c>
      <c r="H5" s="2"/>
      <c r="I5" s="2"/>
      <c r="J5" s="22"/>
      <c r="K5" s="2">
        <v>3</v>
      </c>
      <c r="L5" s="2"/>
      <c r="M5" s="2">
        <v>6</v>
      </c>
      <c r="N5" s="2">
        <v>7</v>
      </c>
      <c r="O5" s="2"/>
      <c r="P5" s="2"/>
      <c r="Q5" s="2"/>
      <c r="R5" s="2"/>
      <c r="S5" s="2">
        <v>3</v>
      </c>
      <c r="T5" s="2"/>
      <c r="U5" s="2">
        <v>3</v>
      </c>
      <c r="V5" s="2">
        <v>6</v>
      </c>
      <c r="W5" s="2"/>
      <c r="X5" s="2"/>
      <c r="Y5" s="2">
        <v>16</v>
      </c>
      <c r="Z5" s="2"/>
      <c r="AA5" s="2"/>
      <c r="AB5" s="2">
        <v>8</v>
      </c>
      <c r="AC5" s="21">
        <v>28</v>
      </c>
      <c r="AD5" s="2"/>
      <c r="AE5" s="23"/>
      <c r="AF5" s="2"/>
      <c r="AG5" s="23">
        <v>7</v>
      </c>
      <c r="AH5" s="2"/>
      <c r="AI5" s="43">
        <f t="shared" ref="AI5:AI15" si="0">AJ5/31</f>
        <v>3</v>
      </c>
      <c r="AJ5" s="32">
        <f>SUM(D5,E5,F5,G5,H5,I5,J5,K5,L5,M5,N5,O5,P5,Q5,R5,S5,T5,U5,V5,W5,X5,Y5,Z5,AA5,AB5,AC5,AD5,AE5,AF5,AG5,AH5)</f>
        <v>93</v>
      </c>
      <c r="AK5" s="3">
        <f>(AJ5/(AJ3+AJ4))*100</f>
        <v>2.7003484320557494</v>
      </c>
    </row>
    <row r="6" spans="1:37" ht="18.95" customHeight="1" x14ac:dyDescent="0.3">
      <c r="A6" s="88"/>
      <c r="B6" s="90"/>
      <c r="C6" s="60" t="s">
        <v>6</v>
      </c>
      <c r="D6" s="4">
        <v>25</v>
      </c>
      <c r="E6" s="4">
        <v>5</v>
      </c>
      <c r="F6" s="4">
        <v>19</v>
      </c>
      <c r="G6" s="4">
        <v>18</v>
      </c>
      <c r="H6" s="4"/>
      <c r="I6" s="4">
        <v>25</v>
      </c>
      <c r="J6" s="24"/>
      <c r="K6" s="4">
        <v>25</v>
      </c>
      <c r="L6" s="4"/>
      <c r="M6" s="4">
        <v>10</v>
      </c>
      <c r="N6" s="4">
        <v>5</v>
      </c>
      <c r="O6" s="4">
        <v>25</v>
      </c>
      <c r="P6" s="4"/>
      <c r="Q6" s="4"/>
      <c r="R6" s="4">
        <v>25</v>
      </c>
      <c r="S6" s="4">
        <v>14</v>
      </c>
      <c r="T6" s="4"/>
      <c r="U6" s="4"/>
      <c r="V6" s="4">
        <v>14</v>
      </c>
      <c r="W6" s="4">
        <v>25</v>
      </c>
      <c r="X6" s="4"/>
      <c r="Y6" s="4">
        <v>25</v>
      </c>
      <c r="Z6" s="4">
        <v>13</v>
      </c>
      <c r="AA6" s="4">
        <v>19</v>
      </c>
      <c r="AB6" s="4"/>
      <c r="AC6" s="25"/>
      <c r="AD6" s="4">
        <v>28</v>
      </c>
      <c r="AE6" s="24"/>
      <c r="AF6" s="4">
        <v>25</v>
      </c>
      <c r="AG6" s="24"/>
      <c r="AH6" s="4"/>
      <c r="AI6" s="44">
        <f t="shared" si="0"/>
        <v>11.129032258064516</v>
      </c>
      <c r="AJ6" s="33">
        <f>SUM(D6,E6,F6,G6,H6,I6,J6,K6,L6,M6,N6,O6,P6,Q6,R6,S6,T6,U6,V6,W6,X6,Y6,Z6,AA6,AB6,AC6,AD6,AE6,AF6,AG6,AH6)</f>
        <v>345</v>
      </c>
      <c r="AK6" s="5">
        <f>(AJ6/(AJ3+AJ4))*100</f>
        <v>10.017421602787456</v>
      </c>
    </row>
    <row r="7" spans="1:37" ht="18.95" customHeight="1" x14ac:dyDescent="0.3">
      <c r="A7" s="88"/>
      <c r="B7" s="90"/>
      <c r="C7" s="60" t="s">
        <v>21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>
        <v>410</v>
      </c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13.225806451612904</v>
      </c>
      <c r="AJ7" s="33">
        <f>SUM(D7,E7,F7,G7,H7,I7,J7,K7,L7,M7,N7,O7,P7,Q7,R7,S7,T7,U7,V7,W7,X7,Y7,Z7,AA7,AB7,AC7,AD7,AE7,AF7,AG7,AH7)</f>
        <v>410</v>
      </c>
      <c r="AK7" s="5">
        <f>(AJ7/(AJ3+AJ4))*100</f>
        <v>11.904761904761903</v>
      </c>
    </row>
    <row r="8" spans="1:37" ht="18.95" customHeight="1" x14ac:dyDescent="0.3">
      <c r="A8" s="88"/>
      <c r="B8" s="90"/>
      <c r="C8" s="61" t="s">
        <v>22</v>
      </c>
      <c r="D8" s="38"/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>
        <v>4</v>
      </c>
      <c r="W8" s="39"/>
      <c r="X8" s="39">
        <v>46</v>
      </c>
      <c r="Y8" s="39"/>
      <c r="Z8" s="39"/>
      <c r="AA8" s="39"/>
      <c r="AB8" s="39"/>
      <c r="AC8" s="38"/>
      <c r="AD8" s="39">
        <v>261</v>
      </c>
      <c r="AE8" s="40"/>
      <c r="AF8" s="39"/>
      <c r="AG8" s="40"/>
      <c r="AH8" s="39"/>
      <c r="AI8" s="47">
        <f t="shared" si="0"/>
        <v>10.03225806451613</v>
      </c>
      <c r="AJ8" s="41">
        <f>SUM(D8,E8,F8,G8,H8,I8,J8,K8,L8,M8,N8,O8,P8,Q8,R8,S8,T8,U8,V8,W8,X8,Y8,Z8,AA8,AB8,AC8,AD8,AE8,AF8,AG8,AH8)</f>
        <v>311</v>
      </c>
      <c r="AK8" s="42">
        <f>(AJ8/(AJ3+AJ4))*100</f>
        <v>9.0301974448315914</v>
      </c>
    </row>
    <row r="9" spans="1:37" ht="18.95" customHeight="1" x14ac:dyDescent="0.3">
      <c r="A9" s="88"/>
      <c r="B9" s="90"/>
      <c r="C9" s="59" t="s">
        <v>5</v>
      </c>
      <c r="D9" s="21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>
        <v>114</v>
      </c>
      <c r="AE9" s="23"/>
      <c r="AF9" s="2"/>
      <c r="AG9" s="23"/>
      <c r="AH9" s="2"/>
      <c r="AI9" s="43">
        <f t="shared" si="0"/>
        <v>3.6774193548387095</v>
      </c>
      <c r="AJ9" s="32">
        <f>SUM(D9,E9,F9,G9,H9,I9,J9,K9,L9,M9,N9,O9,P9,Q9,R9,S9,T9,U9,V9,W9,X9,Y9,Z9,AA9,AB9,AC9,AD9,AE9,AF9,AG9,AH9)</f>
        <v>114</v>
      </c>
      <c r="AK9" s="3">
        <f>(AJ9/(AJ3+AJ4))*100</f>
        <v>3.3101045296167246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8</v>
      </c>
      <c r="D11" s="21"/>
      <c r="E11" s="2"/>
      <c r="F11" s="2"/>
      <c r="G11" s="2"/>
      <c r="H11" s="2"/>
      <c r="I11" s="2"/>
      <c r="J11" s="22">
        <v>30</v>
      </c>
      <c r="K11" s="2"/>
      <c r="L11" s="2"/>
      <c r="M11" s="2"/>
      <c r="N11" s="2"/>
      <c r="O11" s="2"/>
      <c r="P11" s="2"/>
      <c r="Q11" s="2"/>
      <c r="R11" s="2"/>
      <c r="S11" s="2">
        <v>4</v>
      </c>
      <c r="T11" s="2"/>
      <c r="U11" s="2"/>
      <c r="V11" s="2"/>
      <c r="W11" s="2"/>
      <c r="X11" s="2">
        <v>82</v>
      </c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3.7419354838709675</v>
      </c>
      <c r="AJ11" s="32">
        <f>SUM(D11,E11,F11,G11,H11,I11,J11,K11,L11,M11,N11,O11,P11,Q11,R11,S11,T11,U11,V11,W11,X11,Y11,Z11,AA11,AB11,AC11,AD11,AE11,AF11,AG11,AH11)</f>
        <v>116</v>
      </c>
      <c r="AK11" s="3">
        <f>(AJ11/(AJ3+AJ4))*100</f>
        <v>3.3681765389082461</v>
      </c>
    </row>
    <row r="12" spans="1:37" ht="18.95" customHeight="1" x14ac:dyDescent="0.3">
      <c r="A12" s="88"/>
      <c r="B12" s="91" t="s">
        <v>4</v>
      </c>
      <c r="C12" s="62" t="s">
        <v>9</v>
      </c>
      <c r="D12" s="6"/>
      <c r="E12" s="6"/>
      <c r="F12" s="6"/>
      <c r="G12" s="6"/>
      <c r="H12" s="6"/>
      <c r="I12" s="6">
        <v>40</v>
      </c>
      <c r="J12" s="26">
        <v>35</v>
      </c>
      <c r="K12" s="6"/>
      <c r="L12" s="6"/>
      <c r="M12" s="6"/>
      <c r="N12" s="6"/>
      <c r="O12" s="6">
        <v>22</v>
      </c>
      <c r="P12" s="6"/>
      <c r="Q12" s="6"/>
      <c r="R12" s="6"/>
      <c r="S12" s="6"/>
      <c r="T12" s="6"/>
      <c r="U12" s="6"/>
      <c r="V12" s="6"/>
      <c r="W12" s="6">
        <v>38</v>
      </c>
      <c r="X12" s="6">
        <v>38</v>
      </c>
      <c r="Y12" s="6"/>
      <c r="Z12" s="6"/>
      <c r="AA12" s="6"/>
      <c r="AB12" s="6"/>
      <c r="AC12" s="27"/>
      <c r="AD12" s="6">
        <v>56</v>
      </c>
      <c r="AE12" s="26">
        <v>39</v>
      </c>
      <c r="AF12" s="6"/>
      <c r="AG12" s="26"/>
      <c r="AH12" s="6"/>
      <c r="AI12" s="45">
        <f t="shared" si="0"/>
        <v>8.6451612903225801</v>
      </c>
      <c r="AJ12" s="34">
        <f>SUM(D12,E12,F12,G12,H12,I12,J12,K12,L12,M12,N12,O12,P12,Q12,R12,S12,T12,U12,V12,W12,X12,Y12,Z12,AA12,AB12,AC12,AD12,AE12,AF12,AG12,AH12)</f>
        <v>268</v>
      </c>
      <c r="AK12" s="7">
        <f>(AJ12/(AJ3+AJ4))*100</f>
        <v>7.7816492450638792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>
        <v>23</v>
      </c>
      <c r="X13" s="8"/>
      <c r="Y13" s="8"/>
      <c r="Z13" s="8"/>
      <c r="AA13" s="8"/>
      <c r="AB13" s="8"/>
      <c r="AC13" s="28"/>
      <c r="AD13" s="8">
        <v>11</v>
      </c>
      <c r="AE13" s="30">
        <v>8</v>
      </c>
      <c r="AF13" s="8"/>
      <c r="AG13" s="30"/>
      <c r="AH13" s="8"/>
      <c r="AI13" s="46">
        <f t="shared" si="0"/>
        <v>1.3548387096774193</v>
      </c>
      <c r="AJ13" s="35">
        <f t="shared" si="1"/>
        <v>42</v>
      </c>
      <c r="AK13" s="9">
        <f>(AJ13/(AJ3+AJ4))*100</f>
        <v>1.2195121951219512</v>
      </c>
    </row>
    <row r="14" spans="1:37" ht="18.95" customHeight="1" x14ac:dyDescent="0.3">
      <c r="A14" s="88"/>
      <c r="B14" s="92"/>
      <c r="C14" s="56" t="s">
        <v>28</v>
      </c>
      <c r="D14" s="6"/>
      <c r="E14" s="6"/>
      <c r="F14" s="6"/>
      <c r="G14" s="6"/>
      <c r="H14" s="6"/>
      <c r="I14" s="6"/>
      <c r="J14" s="26"/>
      <c r="K14" s="6"/>
      <c r="L14" s="6"/>
      <c r="M14" s="6"/>
      <c r="N14" s="6"/>
      <c r="O14" s="6"/>
      <c r="P14" s="6">
        <v>100</v>
      </c>
      <c r="Q14" s="6">
        <v>60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5.161290322580645</v>
      </c>
      <c r="AJ14" s="34">
        <f t="shared" si="1"/>
        <v>160</v>
      </c>
      <c r="AK14" s="7">
        <f>(AJ14/(AJ3+AJ4))*100</f>
        <v>4.645760743321719</v>
      </c>
    </row>
    <row r="15" spans="1:37" ht="18.95" customHeight="1" x14ac:dyDescent="0.3">
      <c r="A15" s="88"/>
      <c r="B15" s="93"/>
      <c r="C15" s="62" t="s">
        <v>4</v>
      </c>
      <c r="D15" s="51"/>
      <c r="E15" s="51"/>
      <c r="F15" s="51"/>
      <c r="G15" s="51"/>
      <c r="H15" s="51"/>
      <c r="I15" s="51">
        <v>50</v>
      </c>
      <c r="J15" s="50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1"/>
      <c r="AE15" s="50">
        <v>30</v>
      </c>
      <c r="AF15" s="51"/>
      <c r="AG15" s="50"/>
      <c r="AH15" s="51"/>
      <c r="AI15" s="45">
        <f t="shared" si="0"/>
        <v>2.5806451612903225</v>
      </c>
      <c r="AJ15" s="34">
        <f>SUM(D15,E15,F15,G15,H15,I15,J15,K15,L15,M15,N15,O15,P15,Q15,R15,S15,T15,U15,V15,W15,X15,Y15,Z15,AA15,AB15,AC15,AD15,AE15,AF15,AG15,AH15)</f>
        <v>80</v>
      </c>
      <c r="AK15" s="7">
        <f>(AJ15/(AJ3+AJ4))*100</f>
        <v>2.3228803716608595</v>
      </c>
    </row>
    <row r="16" spans="1:37" ht="18.399999999999999" customHeight="1" x14ac:dyDescent="0.3">
      <c r="A16" s="89"/>
      <c r="B16" s="80" t="s">
        <v>10</v>
      </c>
      <c r="C16" s="81"/>
      <c r="D16" s="67"/>
      <c r="E16" s="80">
        <f>SUM(E5:K15)</f>
        <v>256</v>
      </c>
      <c r="F16" s="81"/>
      <c r="G16" s="81"/>
      <c r="H16" s="81"/>
      <c r="I16" s="81"/>
      <c r="J16" s="81"/>
      <c r="K16" s="82"/>
      <c r="L16" s="80">
        <f>SUM(L5:R15)</f>
        <v>260</v>
      </c>
      <c r="M16" s="81"/>
      <c r="N16" s="81"/>
      <c r="O16" s="81"/>
      <c r="P16" s="81"/>
      <c r="Q16" s="81"/>
      <c r="R16" s="82"/>
      <c r="S16" s="80">
        <f>SUM(S5:Y15)</f>
        <v>751</v>
      </c>
      <c r="T16" s="81"/>
      <c r="U16" s="81"/>
      <c r="V16" s="81"/>
      <c r="W16" s="81"/>
      <c r="X16" s="81"/>
      <c r="Y16" s="82"/>
      <c r="Z16" s="80">
        <f>SUM(Z5:AF15)</f>
        <v>640</v>
      </c>
      <c r="AA16" s="81"/>
      <c r="AB16" s="81"/>
      <c r="AC16" s="81"/>
      <c r="AD16" s="81"/>
      <c r="AE16" s="81"/>
      <c r="AF16" s="81"/>
      <c r="AG16" s="67"/>
      <c r="AH16" s="66"/>
      <c r="AI16" s="53">
        <f>AJ16/31</f>
        <v>62.548387096774192</v>
      </c>
      <c r="AJ16" s="49">
        <f>SUM(AJ5,AJ6,AJ7,AJ8,AJ9,AJ10,AJ11,AJ12,AJ13,AJ14,AJ15)</f>
        <v>1939</v>
      </c>
      <c r="AK16" s="10">
        <f>SUM(AK5,AK6,AK7,AK8,AK9,AK10,AK11,AK12,AK13,AK14,AK15)</f>
        <v>56.300813008130078</v>
      </c>
    </row>
    <row r="17" spans="1:37" ht="18" customHeight="1" x14ac:dyDescent="0.3">
      <c r="A17" s="114" t="s">
        <v>26</v>
      </c>
      <c r="B17" s="114"/>
      <c r="C17" s="115"/>
      <c r="D17" s="116">
        <v>4219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8"/>
    </row>
    <row r="18" spans="1:37" ht="18" customHeight="1" x14ac:dyDescent="0.3">
      <c r="A18" s="109" t="s">
        <v>20</v>
      </c>
      <c r="B18" s="109"/>
      <c r="C18" s="110"/>
      <c r="D18" s="120">
        <f>(AJ3+AJ4)-AJ16</f>
        <v>1505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43.699186991869922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5724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1">
    <mergeCell ref="A19:C19"/>
    <mergeCell ref="D19:AJ19"/>
    <mergeCell ref="E16:K16"/>
    <mergeCell ref="L16:R16"/>
    <mergeCell ref="S16:Y16"/>
    <mergeCell ref="Z16:AF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4"/>
  <sheetViews>
    <sheetView zoomScale="80" zoomScaleNormal="80" workbookViewId="0">
      <selection activeCell="C13" sqref="C1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8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83"/>
      <c r="B1" s="83"/>
      <c r="C1" s="84"/>
      <c r="D1" s="36" t="s">
        <v>16</v>
      </c>
      <c r="E1" s="37" t="s">
        <v>15</v>
      </c>
      <c r="F1" s="36" t="s">
        <v>14</v>
      </c>
      <c r="G1" s="36" t="s">
        <v>13</v>
      </c>
      <c r="H1" s="36" t="s">
        <v>12</v>
      </c>
      <c r="I1" s="37" t="s">
        <v>11</v>
      </c>
      <c r="J1" s="55" t="s">
        <v>17</v>
      </c>
      <c r="K1" s="36" t="s">
        <v>16</v>
      </c>
      <c r="L1" s="37" t="s">
        <v>15</v>
      </c>
      <c r="M1" s="36" t="s">
        <v>14</v>
      </c>
      <c r="N1" s="36" t="s">
        <v>13</v>
      </c>
      <c r="O1" s="36" t="s">
        <v>12</v>
      </c>
      <c r="P1" s="37" t="s">
        <v>11</v>
      </c>
      <c r="Q1" s="55" t="s">
        <v>17</v>
      </c>
      <c r="R1" s="36" t="s">
        <v>16</v>
      </c>
      <c r="S1" s="37" t="s">
        <v>15</v>
      </c>
      <c r="T1" s="36" t="s">
        <v>14</v>
      </c>
      <c r="U1" s="36" t="s">
        <v>13</v>
      </c>
      <c r="V1" s="36" t="s">
        <v>12</v>
      </c>
      <c r="W1" s="37" t="s">
        <v>11</v>
      </c>
      <c r="X1" s="55" t="s">
        <v>17</v>
      </c>
      <c r="Y1" s="36" t="s">
        <v>16</v>
      </c>
      <c r="Z1" s="37" t="s">
        <v>15</v>
      </c>
      <c r="AA1" s="36" t="s">
        <v>14</v>
      </c>
      <c r="AB1" s="36" t="s">
        <v>13</v>
      </c>
      <c r="AC1" s="36" t="s">
        <v>12</v>
      </c>
      <c r="AD1" s="37" t="s">
        <v>11</v>
      </c>
      <c r="AE1" s="55" t="s">
        <v>17</v>
      </c>
      <c r="AF1" s="36" t="s">
        <v>16</v>
      </c>
      <c r="AG1" s="37" t="s">
        <v>15</v>
      </c>
      <c r="AH1" s="36" t="s">
        <v>14</v>
      </c>
      <c r="AI1" s="94" t="s">
        <v>23</v>
      </c>
      <c r="AJ1" s="96" t="s">
        <v>18</v>
      </c>
      <c r="AK1" s="98" t="s">
        <v>19</v>
      </c>
    </row>
    <row r="2" spans="1:37" ht="18.95" customHeight="1" x14ac:dyDescent="0.3">
      <c r="A2" s="85"/>
      <c r="B2" s="85"/>
      <c r="C2" s="86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95"/>
      <c r="AJ2" s="97"/>
      <c r="AK2" s="99"/>
    </row>
    <row r="3" spans="1:37" ht="18.95" customHeight="1" x14ac:dyDescent="0.3">
      <c r="A3" s="100" t="s">
        <v>0</v>
      </c>
      <c r="B3" s="101"/>
      <c r="C3" s="57" t="s">
        <v>1</v>
      </c>
      <c r="D3" s="14"/>
      <c r="E3" s="15"/>
      <c r="F3" s="15"/>
      <c r="G3" s="15"/>
      <c r="H3" s="15"/>
      <c r="I3" s="18"/>
      <c r="J3" s="16">
        <v>936</v>
      </c>
      <c r="K3" s="15"/>
      <c r="L3" s="15"/>
      <c r="M3" s="15"/>
      <c r="N3" s="15">
        <v>935</v>
      </c>
      <c r="O3" s="15"/>
      <c r="P3" s="15"/>
      <c r="Q3" s="15"/>
      <c r="R3" s="15"/>
      <c r="S3" s="15"/>
      <c r="T3" s="15"/>
      <c r="U3" s="15"/>
      <c r="V3" s="15"/>
      <c r="W3" s="15"/>
      <c r="X3" s="15">
        <v>592</v>
      </c>
      <c r="Y3" s="15"/>
      <c r="Z3" s="15"/>
      <c r="AA3" s="15"/>
      <c r="AB3" s="15"/>
      <c r="AC3" s="14"/>
      <c r="AD3" s="15"/>
      <c r="AE3" s="17">
        <v>1005</v>
      </c>
      <c r="AF3" s="15"/>
      <c r="AG3" s="17"/>
      <c r="AH3" s="15"/>
      <c r="AI3" s="104">
        <f>(AJ3+AJ4)/31</f>
        <v>120.12903225806451</v>
      </c>
      <c r="AJ3" s="48">
        <f>SUM(D3:AH3)</f>
        <v>3468</v>
      </c>
      <c r="AK3" s="106">
        <v>100</v>
      </c>
    </row>
    <row r="4" spans="1:37" ht="18.95" customHeight="1" x14ac:dyDescent="0.3">
      <c r="A4" s="102"/>
      <c r="B4" s="103"/>
      <c r="C4" s="58" t="s">
        <v>25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>
        <v>23</v>
      </c>
      <c r="Q4" s="18"/>
      <c r="R4" s="18"/>
      <c r="S4" s="18"/>
      <c r="T4" s="18"/>
      <c r="U4" s="18">
        <v>133</v>
      </c>
      <c r="V4" s="18"/>
      <c r="W4" s="18">
        <v>19</v>
      </c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>
        <v>81</v>
      </c>
      <c r="AI4" s="105"/>
      <c r="AJ4" s="48">
        <f>SUM(D4:AH4)</f>
        <v>256</v>
      </c>
      <c r="AK4" s="107"/>
    </row>
    <row r="5" spans="1:37" ht="18.95" customHeight="1" x14ac:dyDescent="0.3">
      <c r="A5" s="87" t="s">
        <v>2</v>
      </c>
      <c r="B5" s="90" t="s">
        <v>3</v>
      </c>
      <c r="C5" s="59" t="s">
        <v>24</v>
      </c>
      <c r="D5" s="21">
        <v>23</v>
      </c>
      <c r="E5" s="2"/>
      <c r="F5" s="2">
        <v>18</v>
      </c>
      <c r="G5" s="2"/>
      <c r="H5" s="2">
        <v>21</v>
      </c>
      <c r="I5" s="2"/>
      <c r="J5" s="22">
        <v>36</v>
      </c>
      <c r="K5" s="2"/>
      <c r="L5" s="2">
        <v>8</v>
      </c>
      <c r="M5" s="2">
        <v>45</v>
      </c>
      <c r="N5" s="2"/>
      <c r="O5" s="2"/>
      <c r="P5" s="2"/>
      <c r="Q5" s="2">
        <v>13</v>
      </c>
      <c r="R5" s="2"/>
      <c r="S5" s="2">
        <v>16</v>
      </c>
      <c r="T5" s="2">
        <v>19</v>
      </c>
      <c r="U5" s="2">
        <v>10</v>
      </c>
      <c r="V5" s="2">
        <v>5</v>
      </c>
      <c r="W5" s="2"/>
      <c r="X5" s="2"/>
      <c r="Y5" s="2">
        <v>12</v>
      </c>
      <c r="Z5" s="2"/>
      <c r="AA5" s="2">
        <v>12</v>
      </c>
      <c r="AB5" s="2"/>
      <c r="AC5" s="21"/>
      <c r="AD5" s="2"/>
      <c r="AE5" s="23">
        <v>6</v>
      </c>
      <c r="AF5" s="2">
        <v>5</v>
      </c>
      <c r="AG5" s="23"/>
      <c r="AH5" s="2"/>
      <c r="AI5" s="43">
        <f t="shared" ref="AI5:AI15" si="0">AJ5/31</f>
        <v>8.0322580645161299</v>
      </c>
      <c r="AJ5" s="32">
        <f>SUM(D5,E5,F5,G5,H5,I5,J5,K5,L5,M5,N5,O5,P5,Q5,R5,S5,T5,U5,V5,W5,X5,Y5,Z5,AA5,AB5,AC5,AD5,AE5,AF5,AG5,AH5)</f>
        <v>249</v>
      </c>
      <c r="AK5" s="3">
        <f>(AJ5/(AJ3+AJ4))*100</f>
        <v>6.6863587540279266</v>
      </c>
    </row>
    <row r="6" spans="1:37" ht="18.95" customHeight="1" x14ac:dyDescent="0.3">
      <c r="A6" s="88"/>
      <c r="B6" s="90"/>
      <c r="C6" s="60" t="s">
        <v>6</v>
      </c>
      <c r="D6" s="4">
        <v>21</v>
      </c>
      <c r="E6" s="4"/>
      <c r="F6" s="4">
        <v>7</v>
      </c>
      <c r="G6" s="4">
        <v>28</v>
      </c>
      <c r="H6" s="4"/>
      <c r="I6" s="4">
        <v>23</v>
      </c>
      <c r="J6" s="24">
        <v>3</v>
      </c>
      <c r="K6" s="4"/>
      <c r="L6" s="4"/>
      <c r="M6" s="4">
        <v>13</v>
      </c>
      <c r="N6" s="4"/>
      <c r="O6" s="4"/>
      <c r="P6" s="4">
        <v>25</v>
      </c>
      <c r="Q6" s="4">
        <v>14</v>
      </c>
      <c r="R6" s="4"/>
      <c r="S6" s="4">
        <v>20</v>
      </c>
      <c r="T6" s="4"/>
      <c r="U6" s="4">
        <v>27</v>
      </c>
      <c r="V6" s="4"/>
      <c r="W6" s="4">
        <v>26</v>
      </c>
      <c r="X6" s="4">
        <v>12</v>
      </c>
      <c r="Y6" s="4"/>
      <c r="Z6" s="4">
        <v>5</v>
      </c>
      <c r="AA6" s="4"/>
      <c r="AB6" s="4">
        <v>29</v>
      </c>
      <c r="AC6" s="25"/>
      <c r="AD6" s="4">
        <v>23</v>
      </c>
      <c r="AE6" s="24">
        <v>19</v>
      </c>
      <c r="AF6" s="4">
        <v>4</v>
      </c>
      <c r="AG6" s="24"/>
      <c r="AH6" s="4">
        <v>26</v>
      </c>
      <c r="AI6" s="44">
        <f t="shared" si="0"/>
        <v>10.483870967741936</v>
      </c>
      <c r="AJ6" s="33">
        <f>SUM(D6,E6,F6,G6,H6,I6,J6,K6,L6,M6,N6,O6,P6,Q6,R6,S6,T6,U6,V6,W6,X6,Y6,Z6,AA6,AB6,AC6,AD6,AE6,AF6,AG6,AH6)</f>
        <v>325</v>
      </c>
      <c r="AK6" s="5">
        <f>(AJ6/(AJ3+AJ4))*100</f>
        <v>8.7271750805585384</v>
      </c>
    </row>
    <row r="7" spans="1:37" ht="18.95" customHeight="1" x14ac:dyDescent="0.3">
      <c r="A7" s="88"/>
      <c r="B7" s="90"/>
      <c r="C7" s="60" t="s">
        <v>21</v>
      </c>
      <c r="D7" s="25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0</v>
      </c>
      <c r="AJ7" s="33">
        <f>SUM(D7,E7,F7,G7,H7,I7,J7,K7,L7,M7,N7,O7,P7,Q7,R7,S7,T7,U7,V7,W7,X7,Y7,Z7,AA7,AB7,AC7,AD7,AE7,AF7,AG7,AH7)</f>
        <v>0</v>
      </c>
      <c r="AK7" s="5">
        <f>(AJ7/(AJ3+AJ4))*100</f>
        <v>0</v>
      </c>
    </row>
    <row r="8" spans="1:37" ht="18.95" customHeight="1" x14ac:dyDescent="0.3">
      <c r="A8" s="88"/>
      <c r="B8" s="90"/>
      <c r="C8" s="61" t="s">
        <v>22</v>
      </c>
      <c r="D8" s="38"/>
      <c r="E8" s="39"/>
      <c r="F8" s="39">
        <v>49</v>
      </c>
      <c r="G8" s="39"/>
      <c r="H8" s="39"/>
      <c r="I8" s="39"/>
      <c r="J8" s="40"/>
      <c r="K8" s="39"/>
      <c r="L8" s="39"/>
      <c r="M8" s="39"/>
      <c r="N8" s="39"/>
      <c r="O8" s="39"/>
      <c r="P8" s="39">
        <v>12</v>
      </c>
      <c r="Q8" s="39"/>
      <c r="R8" s="39"/>
      <c r="S8" s="39"/>
      <c r="T8" s="39"/>
      <c r="U8" s="39"/>
      <c r="V8" s="39"/>
      <c r="W8" s="39"/>
      <c r="X8" s="39"/>
      <c r="Y8" s="39"/>
      <c r="Z8" s="39">
        <v>26</v>
      </c>
      <c r="AA8" s="39"/>
      <c r="AB8" s="39"/>
      <c r="AC8" s="38"/>
      <c r="AD8" s="39"/>
      <c r="AE8" s="40"/>
      <c r="AF8" s="39"/>
      <c r="AG8" s="40"/>
      <c r="AH8" s="39"/>
      <c r="AI8" s="47">
        <f t="shared" si="0"/>
        <v>2.806451612903226</v>
      </c>
      <c r="AJ8" s="41">
        <f>SUM(D8,E8,F8,G8,H8,I8,J8,K8,L8,M8,N8,O8,P8,Q8,R8,S8,T8,U8,V8,W8,X8,Y8,Z8,AA8,AB8,AC8,AD8,AE8,AF8,AG8,AH8)</f>
        <v>87</v>
      </c>
      <c r="AK8" s="42">
        <f>(AJ8/(AJ3+AJ4))*100</f>
        <v>2.3361976369495165</v>
      </c>
    </row>
    <row r="9" spans="1:37" ht="18.95" customHeight="1" x14ac:dyDescent="0.3">
      <c r="A9" s="88"/>
      <c r="B9" s="90"/>
      <c r="C9" s="59" t="s">
        <v>5</v>
      </c>
      <c r="D9" s="21">
        <v>85</v>
      </c>
      <c r="E9" s="2"/>
      <c r="F9" s="2">
        <v>5</v>
      </c>
      <c r="G9" s="2">
        <v>181</v>
      </c>
      <c r="H9" s="2"/>
      <c r="I9" s="2"/>
      <c r="J9" s="22"/>
      <c r="K9" s="2"/>
      <c r="L9" s="2"/>
      <c r="M9" s="2">
        <v>165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>
        <v>114</v>
      </c>
      <c r="AG9" s="23"/>
      <c r="AH9" s="2"/>
      <c r="AI9" s="43">
        <f t="shared" si="0"/>
        <v>17.741935483870968</v>
      </c>
      <c r="AJ9" s="32">
        <f>SUM(D9,E9,F9,G9,H9,I9,J9,K9,L9,M9,N9,O9,P9,Q9,R9,S9,T9,U9,V9,W9,X9,Y9,Z9,AA9,AB9,AC9,AD9,AE9,AF9,AG9,AH9)</f>
        <v>550</v>
      </c>
      <c r="AK9" s="3">
        <f>(AJ9/(AJ3+AJ4))*100</f>
        <v>14.769065520945221</v>
      </c>
    </row>
    <row r="10" spans="1:37" ht="18.95" customHeight="1" x14ac:dyDescent="0.3">
      <c r="A10" s="88"/>
      <c r="B10" s="90"/>
      <c r="C10" s="60" t="s">
        <v>7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88"/>
      <c r="B11" s="90"/>
      <c r="C11" s="60" t="s">
        <v>8</v>
      </c>
      <c r="D11" s="21">
        <v>1226</v>
      </c>
      <c r="E11" s="2"/>
      <c r="F11" s="2"/>
      <c r="G11" s="2"/>
      <c r="H11" s="2"/>
      <c r="I11" s="2"/>
      <c r="J11" s="22"/>
      <c r="K11" s="2"/>
      <c r="L11" s="2"/>
      <c r="M11" s="2"/>
      <c r="N11" s="2"/>
      <c r="O11" s="2"/>
      <c r="P11" s="2"/>
      <c r="Q11" s="2"/>
      <c r="R11" s="2"/>
      <c r="S11" s="2"/>
      <c r="T11" s="2"/>
      <c r="U11" s="2">
        <v>19</v>
      </c>
      <c r="V11" s="2"/>
      <c r="W11" s="2"/>
      <c r="X11" s="2"/>
      <c r="Y11" s="2"/>
      <c r="Z11" s="2">
        <v>8</v>
      </c>
      <c r="AA11" s="2">
        <v>38</v>
      </c>
      <c r="AB11" s="2"/>
      <c r="AC11" s="21">
        <v>38</v>
      </c>
      <c r="AD11" s="2"/>
      <c r="AE11" s="23"/>
      <c r="AF11" s="2"/>
      <c r="AG11" s="23"/>
      <c r="AH11" s="2"/>
      <c r="AI11" s="43">
        <f t="shared" si="0"/>
        <v>42.87096774193548</v>
      </c>
      <c r="AJ11" s="32">
        <f>SUM(D11,E11,F11,G11,H11,I11,J11,K11,L11,M11,N11,O11,P11,Q11,R11,S11,T11,U11,V11,W11,X11,Y11,Z11,AA11,AB11,AC11,AD11,AE11,AF11,AG11,AH11)</f>
        <v>1329</v>
      </c>
      <c r="AK11" s="3">
        <f>(AJ11/(AJ3+AJ4))*100</f>
        <v>35.687432867883992</v>
      </c>
    </row>
    <row r="12" spans="1:37" ht="18.95" customHeight="1" x14ac:dyDescent="0.3">
      <c r="A12" s="88"/>
      <c r="B12" s="91" t="s">
        <v>4</v>
      </c>
      <c r="C12" s="62" t="s">
        <v>9</v>
      </c>
      <c r="D12" s="6">
        <v>15</v>
      </c>
      <c r="E12" s="6"/>
      <c r="F12" s="6"/>
      <c r="G12" s="6">
        <v>27</v>
      </c>
      <c r="H12" s="6"/>
      <c r="I12" s="6"/>
      <c r="J12" s="26">
        <v>38</v>
      </c>
      <c r="K12" s="6">
        <v>40</v>
      </c>
      <c r="L12" s="6"/>
      <c r="M12" s="6">
        <v>38</v>
      </c>
      <c r="N12" s="6">
        <v>41</v>
      </c>
      <c r="O12" s="6">
        <v>38</v>
      </c>
      <c r="P12" s="6"/>
      <c r="Q12" s="6"/>
      <c r="R12" s="6"/>
      <c r="S12" s="6"/>
      <c r="T12" s="6">
        <v>21</v>
      </c>
      <c r="U12" s="6">
        <v>14</v>
      </c>
      <c r="V12" s="6"/>
      <c r="W12" s="6"/>
      <c r="X12" s="6"/>
      <c r="Y12" s="6"/>
      <c r="Z12" s="6"/>
      <c r="AA12" s="6"/>
      <c r="AB12" s="6">
        <v>54</v>
      </c>
      <c r="AC12" s="27"/>
      <c r="AD12" s="6">
        <v>32</v>
      </c>
      <c r="AE12" s="26">
        <v>19</v>
      </c>
      <c r="AF12" s="6"/>
      <c r="AG12" s="26"/>
      <c r="AH12" s="6">
        <v>23</v>
      </c>
      <c r="AI12" s="45">
        <f t="shared" si="0"/>
        <v>12.903225806451612</v>
      </c>
      <c r="AJ12" s="34">
        <f>SUM(D12,E12,F12,G12,H12,I12,J12,K12,L12,M12,N12,O12,P12,Q12,R12,S12,T12,U12,V12,W12,X12,Y12,Z12,AA12,AB12,AC12,AD12,AE12,AF12,AG12,AH12)</f>
        <v>400</v>
      </c>
      <c r="AK12" s="7">
        <f>(AJ12/(AJ3+AJ4))*100</f>
        <v>10.741138560687432</v>
      </c>
    </row>
    <row r="13" spans="1:37" ht="18.95" customHeight="1" x14ac:dyDescent="0.3">
      <c r="A13" s="88"/>
      <c r="B13" s="92"/>
      <c r="C13" s="62" t="s">
        <v>30</v>
      </c>
      <c r="D13" s="28"/>
      <c r="E13" s="8"/>
      <c r="F13" s="8"/>
      <c r="G13" s="8"/>
      <c r="H13" s="8"/>
      <c r="I13" s="8"/>
      <c r="J13" s="29"/>
      <c r="K13" s="8">
        <v>14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0.45161290322580644</v>
      </c>
      <c r="AJ13" s="35">
        <f t="shared" si="1"/>
        <v>14</v>
      </c>
      <c r="AK13" s="9">
        <f>(AJ13/(AJ3+AJ4))*100</f>
        <v>0.37593984962406013</v>
      </c>
    </row>
    <row r="14" spans="1:37" ht="18.95" customHeight="1" x14ac:dyDescent="0.3">
      <c r="A14" s="88"/>
      <c r="B14" s="92"/>
      <c r="C14" s="56" t="s">
        <v>28</v>
      </c>
      <c r="D14" s="6"/>
      <c r="E14" s="6"/>
      <c r="F14" s="6"/>
      <c r="G14" s="6"/>
      <c r="H14" s="6">
        <v>87</v>
      </c>
      <c r="I14" s="6">
        <v>42</v>
      </c>
      <c r="J14" s="2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27">
        <v>143</v>
      </c>
      <c r="AD14" s="6"/>
      <c r="AE14" s="26"/>
      <c r="AF14" s="6"/>
      <c r="AG14" s="26"/>
      <c r="AH14" s="6"/>
      <c r="AI14" s="45">
        <f t="shared" si="0"/>
        <v>8.7741935483870961</v>
      </c>
      <c r="AJ14" s="34">
        <f t="shared" si="1"/>
        <v>272</v>
      </c>
      <c r="AK14" s="7">
        <f>(AJ14/(AJ3+AJ4))*100</f>
        <v>7.3039742212674552</v>
      </c>
    </row>
    <row r="15" spans="1:37" ht="18.95" customHeight="1" x14ac:dyDescent="0.3">
      <c r="A15" s="88"/>
      <c r="B15" s="93"/>
      <c r="C15" s="62" t="s">
        <v>4</v>
      </c>
      <c r="D15" s="51"/>
      <c r="E15" s="51"/>
      <c r="F15" s="51"/>
      <c r="G15" s="51"/>
      <c r="H15" s="51">
        <v>80</v>
      </c>
      <c r="I15" s="51"/>
      <c r="J15" s="50"/>
      <c r="K15" s="51"/>
      <c r="L15" s="51"/>
      <c r="M15" s="51">
        <v>180</v>
      </c>
      <c r="N15" s="51"/>
      <c r="O15" s="51"/>
      <c r="P15" s="51"/>
      <c r="Q15" s="51"/>
      <c r="R15" s="51"/>
      <c r="S15" s="51"/>
      <c r="T15" s="51"/>
      <c r="U15" s="51">
        <v>76</v>
      </c>
      <c r="V15" s="51"/>
      <c r="W15" s="51"/>
      <c r="X15" s="51"/>
      <c r="Y15" s="51"/>
      <c r="Z15" s="51"/>
      <c r="AA15" s="51"/>
      <c r="AB15" s="51"/>
      <c r="AC15" s="52"/>
      <c r="AD15" s="51">
        <v>38</v>
      </c>
      <c r="AE15" s="50"/>
      <c r="AF15" s="51"/>
      <c r="AG15" s="50"/>
      <c r="AH15" s="51"/>
      <c r="AI15" s="45">
        <f t="shared" si="0"/>
        <v>12.064516129032258</v>
      </c>
      <c r="AJ15" s="34">
        <f>SUM(D15,E15,F15,G15,H15,I15,J15,K15,L15,M15,N15,O15,P15,Q15,R15,S15,T15,U15,V15,W15,X15,Y15,Z15,AA15,AB15,AC15,AD15,AE15,AF15,AG15,AH15)</f>
        <v>374</v>
      </c>
      <c r="AK15" s="7">
        <f>(AJ15/(AJ3+AJ4))*100</f>
        <v>10.042964554242751</v>
      </c>
    </row>
    <row r="16" spans="1:37" ht="18.399999999999999" customHeight="1" x14ac:dyDescent="0.3">
      <c r="A16" s="89"/>
      <c r="B16" s="80" t="s">
        <v>10</v>
      </c>
      <c r="C16" s="81"/>
      <c r="D16" s="80">
        <f>SUM(D5:I15)</f>
        <v>1938</v>
      </c>
      <c r="E16" s="81"/>
      <c r="F16" s="81"/>
      <c r="G16" s="81"/>
      <c r="H16" s="81"/>
      <c r="I16" s="82"/>
      <c r="J16" s="80">
        <f>SUM(J5:P15)</f>
        <v>696</v>
      </c>
      <c r="K16" s="81"/>
      <c r="L16" s="81"/>
      <c r="M16" s="81"/>
      <c r="N16" s="81"/>
      <c r="O16" s="81"/>
      <c r="P16" s="82"/>
      <c r="Q16" s="80">
        <f>SUM(Q5:W15)</f>
        <v>280</v>
      </c>
      <c r="R16" s="81"/>
      <c r="S16" s="81"/>
      <c r="T16" s="81"/>
      <c r="U16" s="81"/>
      <c r="V16" s="81"/>
      <c r="W16" s="82"/>
      <c r="X16" s="80">
        <f>SUM(X5:AD15)</f>
        <v>470</v>
      </c>
      <c r="Y16" s="81"/>
      <c r="Z16" s="81"/>
      <c r="AA16" s="81"/>
      <c r="AB16" s="81"/>
      <c r="AC16" s="81"/>
      <c r="AD16" s="82"/>
      <c r="AE16" s="80">
        <f>SUM(AE5:AH15)</f>
        <v>216</v>
      </c>
      <c r="AF16" s="81"/>
      <c r="AG16" s="81"/>
      <c r="AH16" s="82"/>
      <c r="AI16" s="53">
        <f>AJ16/31</f>
        <v>116.12903225806451</v>
      </c>
      <c r="AJ16" s="49">
        <f>SUM(AJ5,AJ6,AJ7,AJ8,AJ9,AJ10,AJ11,AJ12,AJ13,AJ14,AJ15)</f>
        <v>3600</v>
      </c>
      <c r="AK16" s="10">
        <f>SUM(AK5,AK6,AK7,AK8,AK9,AK10,AK11,AK12,AK13,AK14,AK15)</f>
        <v>96.670247046186887</v>
      </c>
    </row>
    <row r="17" spans="1:37" ht="18" customHeight="1" x14ac:dyDescent="0.3">
      <c r="A17" s="114" t="s">
        <v>26</v>
      </c>
      <c r="B17" s="114"/>
      <c r="C17" s="115"/>
      <c r="D17" s="116">
        <v>5724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8"/>
      <c r="AJ17" s="119"/>
      <c r="AK17" s="79"/>
    </row>
    <row r="18" spans="1:37" ht="18" customHeight="1" x14ac:dyDescent="0.3">
      <c r="A18" s="109" t="s">
        <v>20</v>
      </c>
      <c r="B18" s="109"/>
      <c r="C18" s="110"/>
      <c r="D18" s="120">
        <f>(AJ3+AJ4)-AJ16</f>
        <v>124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9"/>
      <c r="AK18" s="31">
        <f>((AJ3+AJ4-AJ16)/(AJ3+AJ4))*100</f>
        <v>3.3297529538131041</v>
      </c>
    </row>
    <row r="19" spans="1:37" ht="18" customHeight="1" x14ac:dyDescent="0.3">
      <c r="A19" s="108" t="s">
        <v>27</v>
      </c>
      <c r="B19" s="109"/>
      <c r="C19" s="110"/>
      <c r="D19" s="111">
        <f>(AJ3+AJ4+D17)-AJ16</f>
        <v>5848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3"/>
      <c r="AK19" s="54"/>
    </row>
    <row r="24" spans="1:37" x14ac:dyDescent="0.3">
      <c r="S24" s="1" t="s">
        <v>29</v>
      </c>
    </row>
  </sheetData>
  <mergeCells count="22">
    <mergeCell ref="A19:C19"/>
    <mergeCell ref="D19:AJ19"/>
    <mergeCell ref="D16:I16"/>
    <mergeCell ref="J16:P16"/>
    <mergeCell ref="Q16:W16"/>
    <mergeCell ref="X16:AD16"/>
    <mergeCell ref="AE16:AH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Январь 2015</vt:lpstr>
      <vt:lpstr>Февраль 2015</vt:lpstr>
      <vt:lpstr>Март 2015</vt:lpstr>
      <vt:lpstr>Апрель 2015</vt:lpstr>
      <vt:lpstr>Май 2015</vt:lpstr>
      <vt:lpstr>Июнь 2015</vt:lpstr>
      <vt:lpstr>Июль 2015</vt:lpstr>
      <vt:lpstr>Август 2015</vt:lpstr>
      <vt:lpstr>Сентябрь 2015</vt:lpstr>
      <vt:lpstr>Октябрь 2015</vt:lpstr>
      <vt:lpstr>Ноябрь 2015</vt:lpstr>
      <vt:lpstr>Декабрь 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2025-12-08T18:55:57Z</dcterms:modified>
</cp:coreProperties>
</file>